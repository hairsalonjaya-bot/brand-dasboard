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未販売" sheetId="1" state="visible" r:id="rId1"/>
    <sheet name="販売済" sheetId="2" state="visible" r:id="rId2"/>
  </sheets>
  <definedNames>
    <definedName name="_xlnm._FilterDatabase" localSheetId="0" hidden="1">'未販売'!$A$1:$J$101</definedName>
    <definedName name="_xlnm._FilterDatabase" localSheetId="1" hidden="1">'販売済'!$A$1:$Q$101</definedName>
  </definedNames>
  <calcPr calcId="124519" fullCalcOnLoad="1"/>
</workbook>
</file>

<file path=xl/styles.xml><?xml version="1.0" encoding="utf-8"?>
<styleSheet xmlns="http://schemas.openxmlformats.org/spreadsheetml/2006/main">
  <numFmts count="3">
    <numFmt numFmtId="164" formatCode="yyyy/mm/dd"/>
    <numFmt numFmtId="165" formatCode="&quot;¥&quot;#,##0"/>
    <numFmt numFmtId="166" formatCode="0.0%"/>
  </numFmts>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1e3a5f"/>
      </patternFill>
    </fill>
    <fill>
      <patternFill patternType="solid">
        <fgColor rgb="00F5F5F5"/>
      </patternFill>
    </fill>
    <fill>
      <patternFill patternType="solid">
        <fgColor rgb="00FFFF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xf>
    <xf numFmtId="0" fontId="2" fillId="3" borderId="1" pivotButton="0" quotePrefix="0" xfId="0"/>
    <xf numFmtId="164" fontId="2" fillId="3" borderId="1" applyAlignment="1" pivotButton="0" quotePrefix="0" xfId="0">
      <alignment horizontal="center" vertical="center"/>
    </xf>
    <xf numFmtId="165" fontId="2" fillId="3" borderId="1" applyAlignment="1" pivotButton="0" quotePrefix="0" xfId="0">
      <alignment horizontal="right" vertical="center"/>
    </xf>
    <xf numFmtId="1" fontId="2" fillId="3" borderId="1" applyAlignment="1" pivotButton="0" quotePrefix="0" xfId="0">
      <alignment horizontal="center" vertical="center"/>
    </xf>
    <xf numFmtId="0" fontId="2" fillId="4" borderId="1" pivotButton="0" quotePrefix="0" xfId="0"/>
    <xf numFmtId="164" fontId="2" fillId="4" borderId="1" applyAlignment="1" pivotButton="0" quotePrefix="0" xfId="0">
      <alignment horizontal="center" vertical="center"/>
    </xf>
    <xf numFmtId="165" fontId="2" fillId="4" borderId="1" applyAlignment="1" pivotButton="0" quotePrefix="0" xfId="0">
      <alignment horizontal="right" vertical="center"/>
    </xf>
    <xf numFmtId="1" fontId="2" fillId="4" borderId="1" applyAlignment="1" pivotButton="0" quotePrefix="0" xfId="0">
      <alignment horizontal="center" vertical="center"/>
    </xf>
    <xf numFmtId="166" fontId="2" fillId="3" borderId="1" applyAlignment="1" pivotButton="0" quotePrefix="0" xfId="0">
      <alignment horizontal="center" vertical="center"/>
    </xf>
    <xf numFmtId="166" fontId="2" fillId="4" borderId="1" applyAlignment="1" pivotButton="0" quotePrefix="0" xfId="0">
      <alignment horizontal="center" vertical="center"/>
    </xf>
    <xf numFmtId="0" fontId="2" fillId="3" borderId="1" applyAlignment="1" pivotButton="0" quotePrefix="0" xfId="0">
      <alignment horizontal="center" vertical="center"/>
    </xf>
    <xf numFmtId="0" fontId="2"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10" customWidth="1" min="3" max="3"/>
    <col width="35" customWidth="1" min="4" max="4"/>
    <col width="14" customWidth="1" min="5" max="5"/>
    <col width="12" customWidth="1" min="6" max="6"/>
    <col width="14" customWidth="1" min="7" max="7"/>
    <col width="12" customWidth="1" min="8" max="8"/>
    <col width="10" customWidth="1" min="9" max="9"/>
    <col width="25" customWidth="1" min="10" max="10"/>
  </cols>
  <sheetData>
    <row r="1" ht="30" customHeight="1">
      <c r="A1" s="1" t="inlineStr">
        <is>
          <t>番号</t>
        </is>
      </c>
      <c r="B1" s="1" t="inlineStr">
        <is>
          <t>個数</t>
        </is>
      </c>
      <c r="C1" s="1" t="inlineStr">
        <is>
          <t>カテゴリ</t>
        </is>
      </c>
      <c r="D1" s="1" t="inlineStr">
        <is>
          <t>商品名</t>
        </is>
      </c>
      <c r="E1" s="1" t="inlineStr">
        <is>
          <t>仕入れ先</t>
        </is>
      </c>
      <c r="F1" s="1" t="inlineStr">
        <is>
          <t>仕入日</t>
        </is>
      </c>
      <c r="G1" s="1" t="inlineStr">
        <is>
          <t>仕入金額</t>
        </is>
      </c>
      <c r="H1" s="1" t="inlineStr">
        <is>
          <t>掲載日</t>
        </is>
      </c>
      <c r="I1" s="1" t="inlineStr">
        <is>
          <t>経過日数</t>
        </is>
      </c>
      <c r="J1" s="1" t="inlineStr">
        <is>
          <t>メモ</t>
        </is>
      </c>
    </row>
    <row r="2">
      <c r="A2" s="2" t="n">
        <v>109</v>
      </c>
      <c r="B2" s="12" t="n">
        <v>1</v>
      </c>
      <c r="C2" s="2" t="inlineStr">
        <is>
          <t>財布</t>
        </is>
      </c>
      <c r="D2" s="2" t="inlineStr">
        <is>
          <t>ＣＨＡＮＥＬ キャビアスキン（バッ キャビアスキン（バッグ）・コインケース</t>
        </is>
      </c>
      <c r="E2" s="2" t="inlineStr">
        <is>
          <t>オークネット</t>
        </is>
      </c>
      <c r="F2" s="3" t="n">
        <v>45979</v>
      </c>
      <c r="G2" s="4" t="n">
        <v>32065</v>
      </c>
      <c r="H2" s="3" t="n">
        <v>45984</v>
      </c>
      <c r="I2" s="5">
        <f>IF(H2="","",TODAY()-H2)</f>
        <v/>
      </c>
      <c r="J2" s="2" t="inlineStr"/>
    </row>
    <row r="3">
      <c r="A3" s="6" t="n">
        <v>112</v>
      </c>
      <c r="B3" s="13" t="n">
        <v>1</v>
      </c>
      <c r="C3" s="6" t="inlineStr">
        <is>
          <t>財布</t>
        </is>
      </c>
      <c r="D3" s="6" t="inlineStr">
        <is>
          <t>ＣＨＡＮＥＬ キャビアスキン（バッ キャビアスキン（バッグ）・財布</t>
        </is>
      </c>
      <c r="E3" s="6" t="inlineStr">
        <is>
          <t>オークネット</t>
        </is>
      </c>
      <c r="F3" s="7" t="n">
        <v>46042</v>
      </c>
      <c r="G3" s="8" t="n">
        <v>74041</v>
      </c>
      <c r="H3" s="7" t="n">
        <v>46048</v>
      </c>
      <c r="I3" s="9">
        <f>IF(H3="","",TODAY()-H3)</f>
        <v/>
      </c>
      <c r="J3" s="6" t="inlineStr">
        <is>
          <t>ギャラ＋保存袋</t>
        </is>
      </c>
    </row>
    <row r="4">
      <c r="A4" s="2" t="n">
        <v>113</v>
      </c>
      <c r="B4" s="12" t="n">
        <v>1</v>
      </c>
      <c r="C4" s="2" t="inlineStr">
        <is>
          <t>財布</t>
        </is>
      </c>
      <c r="D4" s="2" t="inlineStr">
        <is>
          <t>ＣＨＡＮＥＬ キャビアスキン（バッ キャビアスキン　ピンク</t>
        </is>
      </c>
      <c r="E4" s="2" t="inlineStr">
        <is>
          <t>オークネット</t>
        </is>
      </c>
      <c r="F4" s="3" t="n">
        <v>46049</v>
      </c>
      <c r="G4" s="4" t="n">
        <v>34980</v>
      </c>
      <c r="H4" s="3" t="n">
        <v>46051</v>
      </c>
      <c r="I4" s="5">
        <f>IF(H4="","",TODAY()-H4)</f>
        <v/>
      </c>
      <c r="J4" s="2" t="inlineStr">
        <is>
          <t>ギャラ＋保存袋＋箱</t>
        </is>
      </c>
    </row>
    <row r="5">
      <c r="A5" s="6" t="n">
        <v>114</v>
      </c>
      <c r="B5" s="13" t="n">
        <v>1</v>
      </c>
      <c r="C5" s="6" t="inlineStr">
        <is>
          <t>バッグ</t>
        </is>
      </c>
      <c r="D5" s="6" t="inlineStr">
        <is>
          <t>ＣＨＡＮＥＬ シャネル パール マトラッセ（バッグ）・ショルダーバッグ</t>
        </is>
      </c>
      <c r="E5" s="6" t="inlineStr">
        <is>
          <t>オークネット</t>
        </is>
      </c>
      <c r="F5" s="7" t="n">
        <v>46063</v>
      </c>
      <c r="G5" s="8" t="n">
        <v>174900</v>
      </c>
      <c r="H5" s="7" t="n">
        <v>46072</v>
      </c>
      <c r="I5" s="9">
        <f>IF(H5="","",TODAY()-H5)</f>
        <v/>
      </c>
      <c r="J5" s="6" t="inlineStr"/>
    </row>
    <row r="6">
      <c r="A6" s="2" t="n">
        <v>115</v>
      </c>
      <c r="B6" s="12" t="n">
        <v>1</v>
      </c>
      <c r="C6" s="2" t="inlineStr">
        <is>
          <t>財布</t>
        </is>
      </c>
      <c r="D6" s="2" t="inlineStr">
        <is>
          <t>1円 CHANEL シャネル ココマーク キャビアスキン Wホック 二つ折り 財布 ウォレット 小銭入れ 札入れ レディース ブラック系 FW4937</t>
        </is>
      </c>
      <c r="E6" s="2" t="inlineStr">
        <is>
          <t>ヤフオク</t>
        </is>
      </c>
      <c r="F6" s="3" t="n">
        <v>46162</v>
      </c>
      <c r="G6" s="4" t="n">
        <v>7637</v>
      </c>
      <c r="H6" s="3" t="n">
        <v>46171</v>
      </c>
      <c r="I6" s="5">
        <f>IF(H6="","",TODAY()-H6)</f>
        <v/>
      </c>
      <c r="J6" s="2" t="inlineStr"/>
    </row>
    <row r="7">
      <c r="A7" s="6" t="n">
        <v>116</v>
      </c>
      <c r="B7" s="13" t="n">
        <v>1</v>
      </c>
      <c r="C7" s="6" t="inlineStr">
        <is>
          <t>財布</t>
        </is>
      </c>
      <c r="D7" s="6" t="inlineStr">
        <is>
          <t>LOUIS VUITTON モノグラム アリアンヌ 財布</t>
        </is>
      </c>
      <c r="E7" s="6" t="inlineStr">
        <is>
          <t>メルカリ</t>
        </is>
      </c>
      <c r="F7" s="7" t="n">
        <v>46164</v>
      </c>
      <c r="G7" s="8" t="n">
        <v>11000</v>
      </c>
      <c r="H7" s="7" t="n">
        <v>46171</v>
      </c>
      <c r="I7" s="9">
        <f>IF(H7="","",TODAY()-H7)</f>
        <v/>
      </c>
      <c r="J7" s="6" t="inlineStr"/>
    </row>
    <row r="8">
      <c r="A8" s="2" t="n">
        <v>117</v>
      </c>
      <c r="B8" s="12" t="n">
        <v>1</v>
      </c>
      <c r="C8" s="2" t="inlineStr">
        <is>
          <t>財布</t>
        </is>
      </c>
      <c r="D8" s="2" t="inlineStr">
        <is>
          <t>ＬＯＵＩＳ　ＶＵＩＴＴＯＮ　ゾエ ゾエ</t>
        </is>
      </c>
      <c r="E8" s="2" t="inlineStr">
        <is>
          <t>オークネット</t>
        </is>
      </c>
      <c r="F8" s="3" t="n">
        <v>46167</v>
      </c>
      <c r="G8" s="4" t="n">
        <v>15158</v>
      </c>
      <c r="H8" s="3" t="n">
        <v>46174</v>
      </c>
      <c r="I8" s="5">
        <f>IF(H8="","",TODAY()-H8)</f>
        <v/>
      </c>
      <c r="J8" s="2" t="inlineStr"/>
    </row>
    <row r="9">
      <c r="A9" s="6" t="n">
        <v>118</v>
      </c>
      <c r="B9" s="13" t="n">
        <v>1</v>
      </c>
      <c r="C9" s="6" t="inlineStr">
        <is>
          <t>財布</t>
        </is>
      </c>
      <c r="D9" s="6" t="inlineStr">
        <is>
          <t>キャビアスキン（バッグ）・財布　ココマーク　ブラック</t>
        </is>
      </c>
      <c r="E9" s="6" t="inlineStr">
        <is>
          <t>オークネット</t>
        </is>
      </c>
      <c r="F9" s="7" t="n">
        <v>46167</v>
      </c>
      <c r="G9" s="8" t="n">
        <v>11660</v>
      </c>
      <c r="H9" s="7" t="n">
        <v>46176</v>
      </c>
      <c r="I9" s="9">
        <f>IF(H9="","",TODAY()-H9)</f>
        <v/>
      </c>
      <c r="J9" s="6" t="inlineStr"/>
    </row>
    <row r="10">
      <c r="A10" s="2" t="n">
        <v>119</v>
      </c>
      <c r="B10" s="12" t="n">
        <v>1</v>
      </c>
      <c r="C10" s="2" t="inlineStr">
        <is>
          <t>財布</t>
        </is>
      </c>
      <c r="D10" s="2" t="inlineStr">
        <is>
          <t>ポルトフォイユゾエ　アンプラント　ノワール</t>
        </is>
      </c>
      <c r="E10" s="2" t="inlineStr">
        <is>
          <t>オークネット</t>
        </is>
      </c>
      <c r="F10" s="3" t="n">
        <v>46167</v>
      </c>
      <c r="G10" s="4" t="n">
        <v>26818</v>
      </c>
      <c r="H10" s="3" t="n">
        <v>46172</v>
      </c>
      <c r="I10" s="5">
        <f>IF(H10="","",TODAY()-H10)</f>
        <v/>
      </c>
      <c r="J10" s="2" t="inlineStr">
        <is>
          <t>箱あり</t>
        </is>
      </c>
    </row>
    <row r="11">
      <c r="A11" s="6" t="n">
        <v>120</v>
      </c>
      <c r="B11" s="13" t="n">
        <v>1</v>
      </c>
      <c r="C11" s="6" t="inlineStr">
        <is>
          <t>財布</t>
        </is>
      </c>
      <c r="D11" s="6" t="inlineStr">
        <is>
          <t>モノグラム がま口</t>
        </is>
      </c>
      <c r="E11" s="6" t="inlineStr">
        <is>
          <t>オークネット</t>
        </is>
      </c>
      <c r="F11" s="7" t="n">
        <v>46167</v>
      </c>
      <c r="G11" s="8" t="n">
        <v>11660</v>
      </c>
      <c r="H11" s="7" t="n">
        <v>46172</v>
      </c>
      <c r="I11" s="9">
        <f>IF(H11="","",TODAY()-H11)</f>
        <v/>
      </c>
      <c r="J11" s="6" t="inlineStr"/>
    </row>
    <row r="12">
      <c r="A12" s="2" t="n">
        <v>121</v>
      </c>
      <c r="B12" s="12" t="n">
        <v>1</v>
      </c>
      <c r="C12" s="2" t="inlineStr">
        <is>
          <t>財布</t>
        </is>
      </c>
      <c r="D12" s="2" t="inlineStr">
        <is>
          <t>ポルト・フォイユ・マイロックミー</t>
        </is>
      </c>
      <c r="E12" s="2" t="inlineStr">
        <is>
          <t>オークネット</t>
        </is>
      </c>
      <c r="F12" s="3" t="n">
        <v>46167</v>
      </c>
      <c r="G12" s="4" t="n">
        <v>26235</v>
      </c>
      <c r="H12" s="3" t="n">
        <v>46174</v>
      </c>
      <c r="I12" s="5">
        <f>IF(H12="","",TODAY()-H12)</f>
        <v/>
      </c>
      <c r="J12" s="2" t="inlineStr"/>
    </row>
    <row r="13">
      <c r="A13" s="6" t="n">
        <v>122</v>
      </c>
      <c r="B13" s="13" t="n">
        <v>1</v>
      </c>
      <c r="C13" s="6" t="inlineStr">
        <is>
          <t>財布</t>
        </is>
      </c>
      <c r="D13" s="6" t="inlineStr">
        <is>
          <t>CHANEL(12386_0990)CHANEL CHANEL シャネル キャビアスキン がま口 長財布 財布</t>
        </is>
      </c>
      <c r="E13" s="6" t="inlineStr">
        <is>
          <t>エコリング</t>
        </is>
      </c>
      <c r="F13" s="7" t="n">
        <v>46170</v>
      </c>
      <c r="G13" s="8" t="n">
        <v>10450</v>
      </c>
      <c r="H13" s="7" t="n">
        <v>46176</v>
      </c>
      <c r="I13" s="9">
        <f>IF(H13="","",TODAY()-H13)</f>
        <v/>
      </c>
      <c r="J13" s="6" t="inlineStr"/>
    </row>
    <row r="14">
      <c r="A14" s="2" t="n">
        <v>123</v>
      </c>
      <c r="B14" s="12" t="n">
        <v>1</v>
      </c>
      <c r="C14" s="2" t="inlineStr">
        <is>
          <t>財布</t>
        </is>
      </c>
      <c r="D14" s="2" t="inlineStr">
        <is>
          <t>(12387_0595)LOUIS VUITTON 折り財布 財布</t>
        </is>
      </c>
      <c r="E14" s="2" t="inlineStr">
        <is>
          <t>エコリング</t>
        </is>
      </c>
      <c r="F14" s="3" t="n">
        <v>46170</v>
      </c>
      <c r="G14" s="4" t="n">
        <v>34100</v>
      </c>
      <c r="H14" s="3" t="n">
        <v>46178</v>
      </c>
      <c r="I14" s="5">
        <f>IF(H14="","",TODAY()-H14)</f>
        <v/>
      </c>
      <c r="J14" s="2" t="inlineStr">
        <is>
          <t>箱あり</t>
        </is>
      </c>
    </row>
    <row r="15">
      <c r="A15" s="6" t="n">
        <v>124</v>
      </c>
      <c r="B15" s="13" t="n">
        <v>1</v>
      </c>
      <c r="C15" s="6" t="inlineStr">
        <is>
          <t>財布</t>
        </is>
      </c>
      <c r="D15" s="6" t="inlineStr">
        <is>
          <t>(12388_0572)LOUIS VUITTON モノグラム ルイヴィトン ポルトフォイユサラ モノグラムジャイアントリバース M80726 IC反応あり 財布</t>
        </is>
      </c>
      <c r="E15" s="6" t="inlineStr">
        <is>
          <t>エコリング</t>
        </is>
      </c>
      <c r="F15" s="7" t="n">
        <v>46170</v>
      </c>
      <c r="G15" s="8" t="n">
        <v>29700</v>
      </c>
      <c r="H15" s="7" t="n">
        <v>46174</v>
      </c>
      <c r="I15" s="9">
        <f>IF(H15="","",TODAY()-H15)</f>
        <v/>
      </c>
      <c r="J15" s="6" t="inlineStr"/>
    </row>
    <row r="16">
      <c r="A16" s="2" t="n">
        <v>125</v>
      </c>
      <c r="B16" s="12" t="n">
        <v>1</v>
      </c>
      <c r="C16" s="2" t="inlineStr">
        <is>
          <t>財布</t>
        </is>
      </c>
      <c r="D16" s="2" t="inlineStr">
        <is>
          <t>(12387_0635)LOUIS VUITTON モノグラム / ポルトフォイユ ヴィエノワ / M61674 / TH0071 / 折り財布 / PVC 財布</t>
        </is>
      </c>
      <c r="E16" s="2" t="inlineStr">
        <is>
          <t>エコリング</t>
        </is>
      </c>
      <c r="F16" s="3" t="n">
        <v>46170</v>
      </c>
      <c r="G16" s="4" t="n">
        <v>8250</v>
      </c>
      <c r="H16" s="3" t="n">
        <v>46174</v>
      </c>
      <c r="I16" s="5">
        <f>IF(H16="","",TODAY()-H16)</f>
        <v/>
      </c>
      <c r="J16" s="2" t="inlineStr"/>
    </row>
    <row r="17">
      <c r="A17" s="6" t="n">
        <v>126</v>
      </c>
      <c r="B17" s="13" t="n">
        <v>1</v>
      </c>
      <c r="C17" s="6" t="inlineStr">
        <is>
          <t>財布</t>
        </is>
      </c>
      <c r="D17" s="6" t="inlineStr">
        <is>
          <t>(12386_0672)CHANEL キャビアスキン ココマーク 二つ折り 財布</t>
        </is>
      </c>
      <c r="E17" s="6" t="inlineStr">
        <is>
          <t>エコリング</t>
        </is>
      </c>
      <c r="F17" s="7" t="n">
        <v>46170</v>
      </c>
      <c r="G17" s="8" t="n">
        <v>6050</v>
      </c>
      <c r="H17" s="7" t="n">
        <v>46178</v>
      </c>
      <c r="I17" s="9">
        <f>IF(H17="","",TODAY()-H17)</f>
        <v/>
      </c>
      <c r="J17" s="6" t="inlineStr"/>
    </row>
    <row r="18">
      <c r="A18" s="2" t="n">
        <v>129</v>
      </c>
      <c r="B18" s="12" t="n">
        <v>1</v>
      </c>
      <c r="C18" s="2" t="inlineStr">
        <is>
          <t>財布</t>
        </is>
      </c>
      <c r="D18" s="2" t="inlineStr">
        <is>
          <t>(12386_0674)CHANEL シャネル ココマーク キャビアスキン ブラック レザー ゴールド金具 長財布 財布</t>
        </is>
      </c>
      <c r="E18" s="2" t="inlineStr">
        <is>
          <t>エコリング</t>
        </is>
      </c>
      <c r="F18" s="3" t="n">
        <v>46170</v>
      </c>
      <c r="G18" s="4" t="n">
        <v>9350</v>
      </c>
      <c r="H18" s="3" t="n">
        <v>46176</v>
      </c>
      <c r="I18" s="5">
        <f>IF(H18="","",TODAY()-H18)</f>
        <v/>
      </c>
      <c r="J18" s="2" t="inlineStr"/>
    </row>
    <row r="19">
      <c r="A19" s="6" t="n">
        <v>131</v>
      </c>
      <c r="B19" s="13" t="n">
        <v>1</v>
      </c>
      <c r="C19" s="6" t="inlineStr">
        <is>
          <t>財布</t>
        </is>
      </c>
      <c r="D19" s="6" t="inlineStr">
        <is>
          <t>ポルトフォイユサラ</t>
        </is>
      </c>
      <c r="E19" s="6" t="inlineStr">
        <is>
          <t>オークネット</t>
        </is>
      </c>
      <c r="F19" s="7" t="n">
        <v>46181</v>
      </c>
      <c r="G19" s="8" t="n">
        <v>16324</v>
      </c>
      <c r="H19" s="7" t="n">
        <v>46189</v>
      </c>
      <c r="I19" s="9">
        <f>IF(H19="","",TODAY()-H19)</f>
        <v/>
      </c>
      <c r="J19" s="6" t="inlineStr"/>
    </row>
    <row r="20">
      <c r="A20" s="2" t="n"/>
      <c r="B20" s="2" t="n"/>
      <c r="C20" s="2" t="n"/>
      <c r="D20" s="2" t="n"/>
      <c r="E20" s="2" t="n"/>
      <c r="F20" s="3" t="n"/>
      <c r="G20" s="4" t="n"/>
      <c r="H20" s="3" t="n"/>
      <c r="I20" s="5">
        <f>IF(H20="","",TODAY()-H20)</f>
        <v/>
      </c>
      <c r="J20" s="2" t="n"/>
    </row>
    <row r="21">
      <c r="A21" s="6" t="n"/>
      <c r="B21" s="6" t="n"/>
      <c r="C21" s="6" t="n"/>
      <c r="D21" s="6" t="n"/>
      <c r="E21" s="6" t="n"/>
      <c r="F21" s="7" t="n"/>
      <c r="G21" s="8" t="n"/>
      <c r="H21" s="7" t="n"/>
      <c r="I21" s="9">
        <f>IF(H21="","",TODAY()-H21)</f>
        <v/>
      </c>
      <c r="J21" s="6" t="n"/>
    </row>
    <row r="22">
      <c r="A22" s="2" t="n"/>
      <c r="B22" s="2" t="n"/>
      <c r="C22" s="2" t="n"/>
      <c r="D22" s="2" t="n"/>
      <c r="E22" s="2" t="n"/>
      <c r="F22" s="3" t="n"/>
      <c r="G22" s="4" t="n"/>
      <c r="H22" s="3" t="n"/>
      <c r="I22" s="5">
        <f>IF(H22="","",TODAY()-H22)</f>
        <v/>
      </c>
      <c r="J22" s="2" t="n"/>
    </row>
    <row r="23">
      <c r="A23" s="6" t="n"/>
      <c r="B23" s="6" t="n"/>
      <c r="C23" s="6" t="n"/>
      <c r="D23" s="6" t="n"/>
      <c r="E23" s="6" t="n"/>
      <c r="F23" s="7" t="n"/>
      <c r="G23" s="8" t="n"/>
      <c r="H23" s="7" t="n"/>
      <c r="I23" s="9">
        <f>IF(H23="","",TODAY()-H23)</f>
        <v/>
      </c>
      <c r="J23" s="6" t="n"/>
    </row>
    <row r="24">
      <c r="A24" s="2" t="n"/>
      <c r="B24" s="2" t="n"/>
      <c r="C24" s="2" t="n"/>
      <c r="D24" s="2" t="n"/>
      <c r="E24" s="2" t="n"/>
      <c r="F24" s="3" t="n"/>
      <c r="G24" s="4" t="n"/>
      <c r="H24" s="3" t="n"/>
      <c r="I24" s="5">
        <f>IF(H24="","",TODAY()-H24)</f>
        <v/>
      </c>
      <c r="J24" s="2" t="n"/>
    </row>
    <row r="25">
      <c r="A25" s="6" t="n"/>
      <c r="B25" s="6" t="n"/>
      <c r="C25" s="6" t="n"/>
      <c r="D25" s="6" t="n"/>
      <c r="E25" s="6" t="n"/>
      <c r="F25" s="7" t="n"/>
      <c r="G25" s="8" t="n"/>
      <c r="H25" s="7" t="n"/>
      <c r="I25" s="9">
        <f>IF(H25="","",TODAY()-H25)</f>
        <v/>
      </c>
      <c r="J25" s="6" t="n"/>
    </row>
    <row r="26">
      <c r="A26" s="2" t="n"/>
      <c r="B26" s="2" t="n"/>
      <c r="C26" s="2" t="n"/>
      <c r="D26" s="2" t="n"/>
      <c r="E26" s="2" t="n"/>
      <c r="F26" s="3" t="n"/>
      <c r="G26" s="4" t="n"/>
      <c r="H26" s="3" t="n"/>
      <c r="I26" s="5">
        <f>IF(H26="","",TODAY()-H26)</f>
        <v/>
      </c>
      <c r="J26" s="2" t="n"/>
    </row>
    <row r="27">
      <c r="A27" s="6" t="n"/>
      <c r="B27" s="6" t="n"/>
      <c r="C27" s="6" t="n"/>
      <c r="D27" s="6" t="n"/>
      <c r="E27" s="6" t="n"/>
      <c r="F27" s="7" t="n"/>
      <c r="G27" s="8" t="n"/>
      <c r="H27" s="7" t="n"/>
      <c r="I27" s="9">
        <f>IF(H27="","",TODAY()-H27)</f>
        <v/>
      </c>
      <c r="J27" s="6" t="n"/>
    </row>
    <row r="28">
      <c r="A28" s="2" t="n"/>
      <c r="B28" s="2" t="n"/>
      <c r="C28" s="2" t="n"/>
      <c r="D28" s="2" t="n"/>
      <c r="E28" s="2" t="n"/>
      <c r="F28" s="3" t="n"/>
      <c r="G28" s="4" t="n"/>
      <c r="H28" s="3" t="n"/>
      <c r="I28" s="5">
        <f>IF(H28="","",TODAY()-H28)</f>
        <v/>
      </c>
      <c r="J28" s="2" t="n"/>
    </row>
    <row r="29">
      <c r="A29" s="6" t="n"/>
      <c r="B29" s="6" t="n"/>
      <c r="C29" s="6" t="n"/>
      <c r="D29" s="6" t="n"/>
      <c r="E29" s="6" t="n"/>
      <c r="F29" s="7" t="n"/>
      <c r="G29" s="8" t="n"/>
      <c r="H29" s="7" t="n"/>
      <c r="I29" s="9">
        <f>IF(H29="","",TODAY()-H29)</f>
        <v/>
      </c>
      <c r="J29" s="6" t="n"/>
    </row>
    <row r="30">
      <c r="A30" s="2" t="n"/>
      <c r="B30" s="2" t="n"/>
      <c r="C30" s="2" t="n"/>
      <c r="D30" s="2" t="n"/>
      <c r="E30" s="2" t="n"/>
      <c r="F30" s="3" t="n"/>
      <c r="G30" s="4" t="n"/>
      <c r="H30" s="3" t="n"/>
      <c r="I30" s="5">
        <f>IF(H30="","",TODAY()-H30)</f>
        <v/>
      </c>
      <c r="J30" s="2" t="n"/>
    </row>
    <row r="31">
      <c r="A31" s="6" t="n"/>
      <c r="B31" s="6" t="n"/>
      <c r="C31" s="6" t="n"/>
      <c r="D31" s="6" t="n"/>
      <c r="E31" s="6" t="n"/>
      <c r="F31" s="7" t="n"/>
      <c r="G31" s="8" t="n"/>
      <c r="H31" s="7" t="n"/>
      <c r="I31" s="9">
        <f>IF(H31="","",TODAY()-H31)</f>
        <v/>
      </c>
      <c r="J31" s="6" t="n"/>
    </row>
    <row r="32">
      <c r="A32" s="2" t="n"/>
      <c r="B32" s="2" t="n"/>
      <c r="C32" s="2" t="n"/>
      <c r="D32" s="2" t="n"/>
      <c r="E32" s="2" t="n"/>
      <c r="F32" s="3" t="n"/>
      <c r="G32" s="4" t="n"/>
      <c r="H32" s="3" t="n"/>
      <c r="I32" s="5">
        <f>IF(H32="","",TODAY()-H32)</f>
        <v/>
      </c>
      <c r="J32" s="2" t="n"/>
    </row>
    <row r="33">
      <c r="A33" s="6" t="n"/>
      <c r="B33" s="6" t="n"/>
      <c r="C33" s="6" t="n"/>
      <c r="D33" s="6" t="n"/>
      <c r="E33" s="6" t="n"/>
      <c r="F33" s="7" t="n"/>
      <c r="G33" s="8" t="n"/>
      <c r="H33" s="7" t="n"/>
      <c r="I33" s="9">
        <f>IF(H33="","",TODAY()-H33)</f>
        <v/>
      </c>
      <c r="J33" s="6" t="n"/>
    </row>
    <row r="34">
      <c r="A34" s="2" t="n"/>
      <c r="B34" s="2" t="n"/>
      <c r="C34" s="2" t="n"/>
      <c r="D34" s="2" t="n"/>
      <c r="E34" s="2" t="n"/>
      <c r="F34" s="3" t="n"/>
      <c r="G34" s="4" t="n"/>
      <c r="H34" s="3" t="n"/>
      <c r="I34" s="5">
        <f>IF(H34="","",TODAY()-H34)</f>
        <v/>
      </c>
      <c r="J34" s="2" t="n"/>
    </row>
    <row r="35">
      <c r="A35" s="6" t="n"/>
      <c r="B35" s="6" t="n"/>
      <c r="C35" s="6" t="n"/>
      <c r="D35" s="6" t="n"/>
      <c r="E35" s="6" t="n"/>
      <c r="F35" s="7" t="n"/>
      <c r="G35" s="8" t="n"/>
      <c r="H35" s="7" t="n"/>
      <c r="I35" s="9">
        <f>IF(H35="","",TODAY()-H35)</f>
        <v/>
      </c>
      <c r="J35" s="6" t="n"/>
    </row>
    <row r="36">
      <c r="A36" s="2" t="n"/>
      <c r="B36" s="2" t="n"/>
      <c r="C36" s="2" t="n"/>
      <c r="D36" s="2" t="n"/>
      <c r="E36" s="2" t="n"/>
      <c r="F36" s="3" t="n"/>
      <c r="G36" s="4" t="n"/>
      <c r="H36" s="3" t="n"/>
      <c r="I36" s="5">
        <f>IF(H36="","",TODAY()-H36)</f>
        <v/>
      </c>
      <c r="J36" s="2" t="n"/>
    </row>
    <row r="37">
      <c r="A37" s="6" t="n"/>
      <c r="B37" s="6" t="n"/>
      <c r="C37" s="6" t="n"/>
      <c r="D37" s="6" t="n"/>
      <c r="E37" s="6" t="n"/>
      <c r="F37" s="7" t="n"/>
      <c r="G37" s="8" t="n"/>
      <c r="H37" s="7" t="n"/>
      <c r="I37" s="9">
        <f>IF(H37="","",TODAY()-H37)</f>
        <v/>
      </c>
      <c r="J37" s="6" t="n"/>
    </row>
    <row r="38">
      <c r="A38" s="2" t="n"/>
      <c r="B38" s="2" t="n"/>
      <c r="C38" s="2" t="n"/>
      <c r="D38" s="2" t="n"/>
      <c r="E38" s="2" t="n"/>
      <c r="F38" s="3" t="n"/>
      <c r="G38" s="4" t="n"/>
      <c r="H38" s="3" t="n"/>
      <c r="I38" s="5">
        <f>IF(H38="","",TODAY()-H38)</f>
        <v/>
      </c>
      <c r="J38" s="2" t="n"/>
    </row>
    <row r="39">
      <c r="A39" s="6" t="n"/>
      <c r="B39" s="6" t="n"/>
      <c r="C39" s="6" t="n"/>
      <c r="D39" s="6" t="n"/>
      <c r="E39" s="6" t="n"/>
      <c r="F39" s="7" t="n"/>
      <c r="G39" s="8" t="n"/>
      <c r="H39" s="7" t="n"/>
      <c r="I39" s="9">
        <f>IF(H39="","",TODAY()-H39)</f>
        <v/>
      </c>
      <c r="J39" s="6" t="n"/>
    </row>
    <row r="40">
      <c r="A40" s="2" t="n"/>
      <c r="B40" s="2" t="n"/>
      <c r="C40" s="2" t="n"/>
      <c r="D40" s="2" t="n"/>
      <c r="E40" s="2" t="n"/>
      <c r="F40" s="3" t="n"/>
      <c r="G40" s="4" t="n"/>
      <c r="H40" s="3" t="n"/>
      <c r="I40" s="5">
        <f>IF(H40="","",TODAY()-H40)</f>
        <v/>
      </c>
      <c r="J40" s="2" t="n"/>
    </row>
    <row r="41">
      <c r="A41" s="6" t="n"/>
      <c r="B41" s="6" t="n"/>
      <c r="C41" s="6" t="n"/>
      <c r="D41" s="6" t="n"/>
      <c r="E41" s="6" t="n"/>
      <c r="F41" s="7" t="n"/>
      <c r="G41" s="8" t="n"/>
      <c r="H41" s="7" t="n"/>
      <c r="I41" s="9">
        <f>IF(H41="","",TODAY()-H41)</f>
        <v/>
      </c>
      <c r="J41" s="6" t="n"/>
    </row>
    <row r="42">
      <c r="A42" s="2" t="n"/>
      <c r="B42" s="2" t="n"/>
      <c r="C42" s="2" t="n"/>
      <c r="D42" s="2" t="n"/>
      <c r="E42" s="2" t="n"/>
      <c r="F42" s="3" t="n"/>
      <c r="G42" s="4" t="n"/>
      <c r="H42" s="3" t="n"/>
      <c r="I42" s="5">
        <f>IF(H42="","",TODAY()-H42)</f>
        <v/>
      </c>
      <c r="J42" s="2" t="n"/>
    </row>
    <row r="43">
      <c r="A43" s="6" t="n"/>
      <c r="B43" s="6" t="n"/>
      <c r="C43" s="6" t="n"/>
      <c r="D43" s="6" t="n"/>
      <c r="E43" s="6" t="n"/>
      <c r="F43" s="7" t="n"/>
      <c r="G43" s="8" t="n"/>
      <c r="H43" s="7" t="n"/>
      <c r="I43" s="9">
        <f>IF(H43="","",TODAY()-H43)</f>
        <v/>
      </c>
      <c r="J43" s="6" t="n"/>
    </row>
    <row r="44">
      <c r="A44" s="2" t="n"/>
      <c r="B44" s="2" t="n"/>
      <c r="C44" s="2" t="n"/>
      <c r="D44" s="2" t="n"/>
      <c r="E44" s="2" t="n"/>
      <c r="F44" s="3" t="n"/>
      <c r="G44" s="4" t="n"/>
      <c r="H44" s="3" t="n"/>
      <c r="I44" s="5">
        <f>IF(H44="","",TODAY()-H44)</f>
        <v/>
      </c>
      <c r="J44" s="2" t="n"/>
    </row>
    <row r="45">
      <c r="A45" s="6" t="n"/>
      <c r="B45" s="6" t="n"/>
      <c r="C45" s="6" t="n"/>
      <c r="D45" s="6" t="n"/>
      <c r="E45" s="6" t="n"/>
      <c r="F45" s="7" t="n"/>
      <c r="G45" s="8" t="n"/>
      <c r="H45" s="7" t="n"/>
      <c r="I45" s="9">
        <f>IF(H45="","",TODAY()-H45)</f>
        <v/>
      </c>
      <c r="J45" s="6" t="n"/>
    </row>
    <row r="46">
      <c r="A46" s="2" t="n"/>
      <c r="B46" s="2" t="n"/>
      <c r="C46" s="2" t="n"/>
      <c r="D46" s="2" t="n"/>
      <c r="E46" s="2" t="n"/>
      <c r="F46" s="3" t="n"/>
      <c r="G46" s="4" t="n"/>
      <c r="H46" s="3" t="n"/>
      <c r="I46" s="5">
        <f>IF(H46="","",TODAY()-H46)</f>
        <v/>
      </c>
      <c r="J46" s="2" t="n"/>
    </row>
    <row r="47">
      <c r="A47" s="6" t="n"/>
      <c r="B47" s="6" t="n"/>
      <c r="C47" s="6" t="n"/>
      <c r="D47" s="6" t="n"/>
      <c r="E47" s="6" t="n"/>
      <c r="F47" s="7" t="n"/>
      <c r="G47" s="8" t="n"/>
      <c r="H47" s="7" t="n"/>
      <c r="I47" s="9">
        <f>IF(H47="","",TODAY()-H47)</f>
        <v/>
      </c>
      <c r="J47" s="6" t="n"/>
    </row>
    <row r="48">
      <c r="A48" s="2" t="n"/>
      <c r="B48" s="2" t="n"/>
      <c r="C48" s="2" t="n"/>
      <c r="D48" s="2" t="n"/>
      <c r="E48" s="2" t="n"/>
      <c r="F48" s="3" t="n"/>
      <c r="G48" s="4" t="n"/>
      <c r="H48" s="3" t="n"/>
      <c r="I48" s="5">
        <f>IF(H48="","",TODAY()-H48)</f>
        <v/>
      </c>
      <c r="J48" s="2" t="n"/>
    </row>
    <row r="49">
      <c r="A49" s="6" t="n"/>
      <c r="B49" s="6" t="n"/>
      <c r="C49" s="6" t="n"/>
      <c r="D49" s="6" t="n"/>
      <c r="E49" s="6" t="n"/>
      <c r="F49" s="7" t="n"/>
      <c r="G49" s="8" t="n"/>
      <c r="H49" s="7" t="n"/>
      <c r="I49" s="9">
        <f>IF(H49="","",TODAY()-H49)</f>
        <v/>
      </c>
      <c r="J49" s="6" t="n"/>
    </row>
    <row r="50">
      <c r="A50" s="2" t="n"/>
      <c r="B50" s="2" t="n"/>
      <c r="C50" s="2" t="n"/>
      <c r="D50" s="2" t="n"/>
      <c r="E50" s="2" t="n"/>
      <c r="F50" s="3" t="n"/>
      <c r="G50" s="4" t="n"/>
      <c r="H50" s="3" t="n"/>
      <c r="I50" s="5">
        <f>IF(H50="","",TODAY()-H50)</f>
        <v/>
      </c>
      <c r="J50" s="2" t="n"/>
    </row>
    <row r="51">
      <c r="A51" s="6" t="n"/>
      <c r="B51" s="6" t="n"/>
      <c r="C51" s="6" t="n"/>
      <c r="D51" s="6" t="n"/>
      <c r="E51" s="6" t="n"/>
      <c r="F51" s="7" t="n"/>
      <c r="G51" s="8" t="n"/>
      <c r="H51" s="7" t="n"/>
      <c r="I51" s="9">
        <f>IF(H51="","",TODAY()-H51)</f>
        <v/>
      </c>
      <c r="J51" s="6" t="n"/>
    </row>
    <row r="52">
      <c r="A52" s="2" t="n"/>
      <c r="B52" s="2" t="n"/>
      <c r="C52" s="2" t="n"/>
      <c r="D52" s="2" t="n"/>
      <c r="E52" s="2" t="n"/>
      <c r="F52" s="3" t="n"/>
      <c r="G52" s="4" t="n"/>
      <c r="H52" s="3" t="n"/>
      <c r="I52" s="5">
        <f>IF(H52="","",TODAY()-H52)</f>
        <v/>
      </c>
      <c r="J52" s="2" t="n"/>
    </row>
    <row r="53">
      <c r="A53" s="6" t="n"/>
      <c r="B53" s="6" t="n"/>
      <c r="C53" s="6" t="n"/>
      <c r="D53" s="6" t="n"/>
      <c r="E53" s="6" t="n"/>
      <c r="F53" s="7" t="n"/>
      <c r="G53" s="8" t="n"/>
      <c r="H53" s="7" t="n"/>
      <c r="I53" s="9">
        <f>IF(H53="","",TODAY()-H53)</f>
        <v/>
      </c>
      <c r="J53" s="6" t="n"/>
    </row>
    <row r="54">
      <c r="A54" s="2" t="n"/>
      <c r="B54" s="2" t="n"/>
      <c r="C54" s="2" t="n"/>
      <c r="D54" s="2" t="n"/>
      <c r="E54" s="2" t="n"/>
      <c r="F54" s="3" t="n"/>
      <c r="G54" s="4" t="n"/>
      <c r="H54" s="3" t="n"/>
      <c r="I54" s="5">
        <f>IF(H54="","",TODAY()-H54)</f>
        <v/>
      </c>
      <c r="J54" s="2" t="n"/>
    </row>
    <row r="55">
      <c r="A55" s="6" t="n"/>
      <c r="B55" s="6" t="n"/>
      <c r="C55" s="6" t="n"/>
      <c r="D55" s="6" t="n"/>
      <c r="E55" s="6" t="n"/>
      <c r="F55" s="7" t="n"/>
      <c r="G55" s="8" t="n"/>
      <c r="H55" s="7" t="n"/>
      <c r="I55" s="9">
        <f>IF(H55="","",TODAY()-H55)</f>
        <v/>
      </c>
      <c r="J55" s="6" t="n"/>
    </row>
    <row r="56">
      <c r="A56" s="2" t="n"/>
      <c r="B56" s="2" t="n"/>
      <c r="C56" s="2" t="n"/>
      <c r="D56" s="2" t="n"/>
      <c r="E56" s="2" t="n"/>
      <c r="F56" s="3" t="n"/>
      <c r="G56" s="4" t="n"/>
      <c r="H56" s="3" t="n"/>
      <c r="I56" s="5">
        <f>IF(H56="","",TODAY()-H56)</f>
        <v/>
      </c>
      <c r="J56" s="2" t="n"/>
    </row>
    <row r="57">
      <c r="A57" s="6" t="n"/>
      <c r="B57" s="6" t="n"/>
      <c r="C57" s="6" t="n"/>
      <c r="D57" s="6" t="n"/>
      <c r="E57" s="6" t="n"/>
      <c r="F57" s="7" t="n"/>
      <c r="G57" s="8" t="n"/>
      <c r="H57" s="7" t="n"/>
      <c r="I57" s="9">
        <f>IF(H57="","",TODAY()-H57)</f>
        <v/>
      </c>
      <c r="J57" s="6" t="n"/>
    </row>
    <row r="58">
      <c r="A58" s="2" t="n"/>
      <c r="B58" s="2" t="n"/>
      <c r="C58" s="2" t="n"/>
      <c r="D58" s="2" t="n"/>
      <c r="E58" s="2" t="n"/>
      <c r="F58" s="3" t="n"/>
      <c r="G58" s="4" t="n"/>
      <c r="H58" s="3" t="n"/>
      <c r="I58" s="5">
        <f>IF(H58="","",TODAY()-H58)</f>
        <v/>
      </c>
      <c r="J58" s="2" t="n"/>
    </row>
    <row r="59">
      <c r="A59" s="6" t="n"/>
      <c r="B59" s="6" t="n"/>
      <c r="C59" s="6" t="n"/>
      <c r="D59" s="6" t="n"/>
      <c r="E59" s="6" t="n"/>
      <c r="F59" s="7" t="n"/>
      <c r="G59" s="8" t="n"/>
      <c r="H59" s="7" t="n"/>
      <c r="I59" s="9">
        <f>IF(H59="","",TODAY()-H59)</f>
        <v/>
      </c>
      <c r="J59" s="6" t="n"/>
    </row>
    <row r="60">
      <c r="A60" s="2" t="n"/>
      <c r="B60" s="2" t="n"/>
      <c r="C60" s="2" t="n"/>
      <c r="D60" s="2" t="n"/>
      <c r="E60" s="2" t="n"/>
      <c r="F60" s="3" t="n"/>
      <c r="G60" s="4" t="n"/>
      <c r="H60" s="3" t="n"/>
      <c r="I60" s="5">
        <f>IF(H60="","",TODAY()-H60)</f>
        <v/>
      </c>
      <c r="J60" s="2" t="n"/>
    </row>
    <row r="61">
      <c r="A61" s="6" t="n"/>
      <c r="B61" s="6" t="n"/>
      <c r="C61" s="6" t="n"/>
      <c r="D61" s="6" t="n"/>
      <c r="E61" s="6" t="n"/>
      <c r="F61" s="7" t="n"/>
      <c r="G61" s="8" t="n"/>
      <c r="H61" s="7" t="n"/>
      <c r="I61" s="9">
        <f>IF(H61="","",TODAY()-H61)</f>
        <v/>
      </c>
      <c r="J61" s="6" t="n"/>
    </row>
    <row r="62">
      <c r="A62" s="2" t="n"/>
      <c r="B62" s="2" t="n"/>
      <c r="C62" s="2" t="n"/>
      <c r="D62" s="2" t="n"/>
      <c r="E62" s="2" t="n"/>
      <c r="F62" s="3" t="n"/>
      <c r="G62" s="4" t="n"/>
      <c r="H62" s="3" t="n"/>
      <c r="I62" s="5">
        <f>IF(H62="","",TODAY()-H62)</f>
        <v/>
      </c>
      <c r="J62" s="2" t="n"/>
    </row>
    <row r="63">
      <c r="A63" s="6" t="n"/>
      <c r="B63" s="6" t="n"/>
      <c r="C63" s="6" t="n"/>
      <c r="D63" s="6" t="n"/>
      <c r="E63" s="6" t="n"/>
      <c r="F63" s="7" t="n"/>
      <c r="G63" s="8" t="n"/>
      <c r="H63" s="7" t="n"/>
      <c r="I63" s="9">
        <f>IF(H63="","",TODAY()-H63)</f>
        <v/>
      </c>
      <c r="J63" s="6" t="n"/>
    </row>
    <row r="64">
      <c r="A64" s="2" t="n"/>
      <c r="B64" s="2" t="n"/>
      <c r="C64" s="2" t="n"/>
      <c r="D64" s="2" t="n"/>
      <c r="E64" s="2" t="n"/>
      <c r="F64" s="3" t="n"/>
      <c r="G64" s="4" t="n"/>
      <c r="H64" s="3" t="n"/>
      <c r="I64" s="5">
        <f>IF(H64="","",TODAY()-H64)</f>
        <v/>
      </c>
      <c r="J64" s="2" t="n"/>
    </row>
    <row r="65">
      <c r="A65" s="6" t="n"/>
      <c r="B65" s="6" t="n"/>
      <c r="C65" s="6" t="n"/>
      <c r="D65" s="6" t="n"/>
      <c r="E65" s="6" t="n"/>
      <c r="F65" s="7" t="n"/>
      <c r="G65" s="8" t="n"/>
      <c r="H65" s="7" t="n"/>
      <c r="I65" s="9">
        <f>IF(H65="","",TODAY()-H65)</f>
        <v/>
      </c>
      <c r="J65" s="6" t="n"/>
    </row>
    <row r="66">
      <c r="A66" s="2" t="n"/>
      <c r="B66" s="2" t="n"/>
      <c r="C66" s="2" t="n"/>
      <c r="D66" s="2" t="n"/>
      <c r="E66" s="2" t="n"/>
      <c r="F66" s="3" t="n"/>
      <c r="G66" s="4" t="n"/>
      <c r="H66" s="3" t="n"/>
      <c r="I66" s="5">
        <f>IF(H66="","",TODAY()-H66)</f>
        <v/>
      </c>
      <c r="J66" s="2" t="n"/>
    </row>
    <row r="67">
      <c r="A67" s="6" t="n"/>
      <c r="B67" s="6" t="n"/>
      <c r="C67" s="6" t="n"/>
      <c r="D67" s="6" t="n"/>
      <c r="E67" s="6" t="n"/>
      <c r="F67" s="7" t="n"/>
      <c r="G67" s="8" t="n"/>
      <c r="H67" s="7" t="n"/>
      <c r="I67" s="9">
        <f>IF(H67="","",TODAY()-H67)</f>
        <v/>
      </c>
      <c r="J67" s="6" t="n"/>
    </row>
    <row r="68">
      <c r="A68" s="2" t="n"/>
      <c r="B68" s="2" t="n"/>
      <c r="C68" s="2" t="n"/>
      <c r="D68" s="2" t="n"/>
      <c r="E68" s="2" t="n"/>
      <c r="F68" s="3" t="n"/>
      <c r="G68" s="4" t="n"/>
      <c r="H68" s="3" t="n"/>
      <c r="I68" s="5">
        <f>IF(H68="","",TODAY()-H68)</f>
        <v/>
      </c>
      <c r="J68" s="2" t="n"/>
    </row>
    <row r="69">
      <c r="A69" s="6" t="n"/>
      <c r="B69" s="6" t="n"/>
      <c r="C69" s="6" t="n"/>
      <c r="D69" s="6" t="n"/>
      <c r="E69" s="6" t="n"/>
      <c r="F69" s="7" t="n"/>
      <c r="G69" s="8" t="n"/>
      <c r="H69" s="7" t="n"/>
      <c r="I69" s="9">
        <f>IF(H69="","",TODAY()-H69)</f>
        <v/>
      </c>
      <c r="J69" s="6" t="n"/>
    </row>
    <row r="70">
      <c r="A70" s="2" t="n"/>
      <c r="B70" s="2" t="n"/>
      <c r="C70" s="2" t="n"/>
      <c r="D70" s="2" t="n"/>
      <c r="E70" s="2" t="n"/>
      <c r="F70" s="3" t="n"/>
      <c r="G70" s="4" t="n"/>
      <c r="H70" s="3" t="n"/>
      <c r="I70" s="5">
        <f>IF(H70="","",TODAY()-H70)</f>
        <v/>
      </c>
      <c r="J70" s="2" t="n"/>
    </row>
    <row r="71">
      <c r="A71" s="6" t="n"/>
      <c r="B71" s="6" t="n"/>
      <c r="C71" s="6" t="n"/>
      <c r="D71" s="6" t="n"/>
      <c r="E71" s="6" t="n"/>
      <c r="F71" s="7" t="n"/>
      <c r="G71" s="8" t="n"/>
      <c r="H71" s="7" t="n"/>
      <c r="I71" s="9">
        <f>IF(H71="","",TODAY()-H71)</f>
        <v/>
      </c>
      <c r="J71" s="6" t="n"/>
    </row>
    <row r="72">
      <c r="A72" s="2" t="n"/>
      <c r="B72" s="2" t="n"/>
      <c r="C72" s="2" t="n"/>
      <c r="D72" s="2" t="n"/>
      <c r="E72" s="2" t="n"/>
      <c r="F72" s="3" t="n"/>
      <c r="G72" s="4" t="n"/>
      <c r="H72" s="3" t="n"/>
      <c r="I72" s="5">
        <f>IF(H72="","",TODAY()-H72)</f>
        <v/>
      </c>
      <c r="J72" s="2" t="n"/>
    </row>
    <row r="73">
      <c r="A73" s="6" t="n"/>
      <c r="B73" s="6" t="n"/>
      <c r="C73" s="6" t="n"/>
      <c r="D73" s="6" t="n"/>
      <c r="E73" s="6" t="n"/>
      <c r="F73" s="7" t="n"/>
      <c r="G73" s="8" t="n"/>
      <c r="H73" s="7" t="n"/>
      <c r="I73" s="9">
        <f>IF(H73="","",TODAY()-H73)</f>
        <v/>
      </c>
      <c r="J73" s="6" t="n"/>
    </row>
    <row r="74">
      <c r="A74" s="2" t="n"/>
      <c r="B74" s="2" t="n"/>
      <c r="C74" s="2" t="n"/>
      <c r="D74" s="2" t="n"/>
      <c r="E74" s="2" t="n"/>
      <c r="F74" s="3" t="n"/>
      <c r="G74" s="4" t="n"/>
      <c r="H74" s="3" t="n"/>
      <c r="I74" s="5">
        <f>IF(H74="","",TODAY()-H74)</f>
        <v/>
      </c>
      <c r="J74" s="2" t="n"/>
    </row>
    <row r="75">
      <c r="A75" s="6" t="n"/>
      <c r="B75" s="6" t="n"/>
      <c r="C75" s="6" t="n"/>
      <c r="D75" s="6" t="n"/>
      <c r="E75" s="6" t="n"/>
      <c r="F75" s="7" t="n"/>
      <c r="G75" s="8" t="n"/>
      <c r="H75" s="7" t="n"/>
      <c r="I75" s="9">
        <f>IF(H75="","",TODAY()-H75)</f>
        <v/>
      </c>
      <c r="J75" s="6" t="n"/>
    </row>
    <row r="76">
      <c r="A76" s="2" t="n"/>
      <c r="B76" s="2" t="n"/>
      <c r="C76" s="2" t="n"/>
      <c r="D76" s="2" t="n"/>
      <c r="E76" s="2" t="n"/>
      <c r="F76" s="3" t="n"/>
      <c r="G76" s="4" t="n"/>
      <c r="H76" s="3" t="n"/>
      <c r="I76" s="5">
        <f>IF(H76="","",TODAY()-H76)</f>
        <v/>
      </c>
      <c r="J76" s="2" t="n"/>
    </row>
    <row r="77">
      <c r="A77" s="6" t="n"/>
      <c r="B77" s="6" t="n"/>
      <c r="C77" s="6" t="n"/>
      <c r="D77" s="6" t="n"/>
      <c r="E77" s="6" t="n"/>
      <c r="F77" s="7" t="n"/>
      <c r="G77" s="8" t="n"/>
      <c r="H77" s="7" t="n"/>
      <c r="I77" s="9">
        <f>IF(H77="","",TODAY()-H77)</f>
        <v/>
      </c>
      <c r="J77" s="6" t="n"/>
    </row>
    <row r="78">
      <c r="A78" s="2" t="n"/>
      <c r="B78" s="2" t="n"/>
      <c r="C78" s="2" t="n"/>
      <c r="D78" s="2" t="n"/>
      <c r="E78" s="2" t="n"/>
      <c r="F78" s="3" t="n"/>
      <c r="G78" s="4" t="n"/>
      <c r="H78" s="3" t="n"/>
      <c r="I78" s="5">
        <f>IF(H78="","",TODAY()-H78)</f>
        <v/>
      </c>
      <c r="J78" s="2" t="n"/>
    </row>
    <row r="79">
      <c r="A79" s="6" t="n"/>
      <c r="B79" s="6" t="n"/>
      <c r="C79" s="6" t="n"/>
      <c r="D79" s="6" t="n"/>
      <c r="E79" s="6" t="n"/>
      <c r="F79" s="7" t="n"/>
      <c r="G79" s="8" t="n"/>
      <c r="H79" s="7" t="n"/>
      <c r="I79" s="9">
        <f>IF(H79="","",TODAY()-H79)</f>
        <v/>
      </c>
      <c r="J79" s="6" t="n"/>
    </row>
    <row r="80">
      <c r="A80" s="2" t="n"/>
      <c r="B80" s="2" t="n"/>
      <c r="C80" s="2" t="n"/>
      <c r="D80" s="2" t="n"/>
      <c r="E80" s="2" t="n"/>
      <c r="F80" s="3" t="n"/>
      <c r="G80" s="4" t="n"/>
      <c r="H80" s="3" t="n"/>
      <c r="I80" s="5">
        <f>IF(H80="","",TODAY()-H80)</f>
        <v/>
      </c>
      <c r="J80" s="2" t="n"/>
    </row>
    <row r="81">
      <c r="A81" s="6" t="n"/>
      <c r="B81" s="6" t="n"/>
      <c r="C81" s="6" t="n"/>
      <c r="D81" s="6" t="n"/>
      <c r="E81" s="6" t="n"/>
      <c r="F81" s="7" t="n"/>
      <c r="G81" s="8" t="n"/>
      <c r="H81" s="7" t="n"/>
      <c r="I81" s="9">
        <f>IF(H81="","",TODAY()-H81)</f>
        <v/>
      </c>
      <c r="J81" s="6" t="n"/>
    </row>
    <row r="82">
      <c r="A82" s="2" t="n"/>
      <c r="B82" s="2" t="n"/>
      <c r="C82" s="2" t="n"/>
      <c r="D82" s="2" t="n"/>
      <c r="E82" s="2" t="n"/>
      <c r="F82" s="3" t="n"/>
      <c r="G82" s="4" t="n"/>
      <c r="H82" s="3" t="n"/>
      <c r="I82" s="5">
        <f>IF(H82="","",TODAY()-H82)</f>
        <v/>
      </c>
      <c r="J82" s="2" t="n"/>
    </row>
    <row r="83">
      <c r="A83" s="6" t="n"/>
      <c r="B83" s="6" t="n"/>
      <c r="C83" s="6" t="n"/>
      <c r="D83" s="6" t="n"/>
      <c r="E83" s="6" t="n"/>
      <c r="F83" s="7" t="n"/>
      <c r="G83" s="8" t="n"/>
      <c r="H83" s="7" t="n"/>
      <c r="I83" s="9">
        <f>IF(H83="","",TODAY()-H83)</f>
        <v/>
      </c>
      <c r="J83" s="6" t="n"/>
    </row>
    <row r="84">
      <c r="A84" s="2" t="n"/>
      <c r="B84" s="2" t="n"/>
      <c r="C84" s="2" t="n"/>
      <c r="D84" s="2" t="n"/>
      <c r="E84" s="2" t="n"/>
      <c r="F84" s="3" t="n"/>
      <c r="G84" s="4" t="n"/>
      <c r="H84" s="3" t="n"/>
      <c r="I84" s="5">
        <f>IF(H84="","",TODAY()-H84)</f>
        <v/>
      </c>
      <c r="J84" s="2" t="n"/>
    </row>
    <row r="85">
      <c r="A85" s="6" t="n"/>
      <c r="B85" s="6" t="n"/>
      <c r="C85" s="6" t="n"/>
      <c r="D85" s="6" t="n"/>
      <c r="E85" s="6" t="n"/>
      <c r="F85" s="7" t="n"/>
      <c r="G85" s="8" t="n"/>
      <c r="H85" s="7" t="n"/>
      <c r="I85" s="9">
        <f>IF(H85="","",TODAY()-H85)</f>
        <v/>
      </c>
      <c r="J85" s="6" t="n"/>
    </row>
    <row r="86">
      <c r="A86" s="2" t="n"/>
      <c r="B86" s="2" t="n"/>
      <c r="C86" s="2" t="n"/>
      <c r="D86" s="2" t="n"/>
      <c r="E86" s="2" t="n"/>
      <c r="F86" s="3" t="n"/>
      <c r="G86" s="4" t="n"/>
      <c r="H86" s="3" t="n"/>
      <c r="I86" s="5">
        <f>IF(H86="","",TODAY()-H86)</f>
        <v/>
      </c>
      <c r="J86" s="2" t="n"/>
    </row>
    <row r="87">
      <c r="A87" s="6" t="n"/>
      <c r="B87" s="6" t="n"/>
      <c r="C87" s="6" t="n"/>
      <c r="D87" s="6" t="n"/>
      <c r="E87" s="6" t="n"/>
      <c r="F87" s="7" t="n"/>
      <c r="G87" s="8" t="n"/>
      <c r="H87" s="7" t="n"/>
      <c r="I87" s="9">
        <f>IF(H87="","",TODAY()-H87)</f>
        <v/>
      </c>
      <c r="J87" s="6" t="n"/>
    </row>
    <row r="88">
      <c r="A88" s="2" t="n"/>
      <c r="B88" s="2" t="n"/>
      <c r="C88" s="2" t="n"/>
      <c r="D88" s="2" t="n"/>
      <c r="E88" s="2" t="n"/>
      <c r="F88" s="3" t="n"/>
      <c r="G88" s="4" t="n"/>
      <c r="H88" s="3" t="n"/>
      <c r="I88" s="5">
        <f>IF(H88="","",TODAY()-H88)</f>
        <v/>
      </c>
      <c r="J88" s="2" t="n"/>
    </row>
    <row r="89">
      <c r="A89" s="6" t="n"/>
      <c r="B89" s="6" t="n"/>
      <c r="C89" s="6" t="n"/>
      <c r="D89" s="6" t="n"/>
      <c r="E89" s="6" t="n"/>
      <c r="F89" s="7" t="n"/>
      <c r="G89" s="8" t="n"/>
      <c r="H89" s="7" t="n"/>
      <c r="I89" s="9">
        <f>IF(H89="","",TODAY()-H89)</f>
        <v/>
      </c>
      <c r="J89" s="6" t="n"/>
    </row>
    <row r="90">
      <c r="A90" s="2" t="n"/>
      <c r="B90" s="2" t="n"/>
      <c r="C90" s="2" t="n"/>
      <c r="D90" s="2" t="n"/>
      <c r="E90" s="2" t="n"/>
      <c r="F90" s="3" t="n"/>
      <c r="G90" s="4" t="n"/>
      <c r="H90" s="3" t="n"/>
      <c r="I90" s="5">
        <f>IF(H90="","",TODAY()-H90)</f>
        <v/>
      </c>
      <c r="J90" s="2" t="n"/>
    </row>
    <row r="91">
      <c r="A91" s="6" t="n"/>
      <c r="B91" s="6" t="n"/>
      <c r="C91" s="6" t="n"/>
      <c r="D91" s="6" t="n"/>
      <c r="E91" s="6" t="n"/>
      <c r="F91" s="7" t="n"/>
      <c r="G91" s="8" t="n"/>
      <c r="H91" s="7" t="n"/>
      <c r="I91" s="9">
        <f>IF(H91="","",TODAY()-H91)</f>
        <v/>
      </c>
      <c r="J91" s="6" t="n"/>
    </row>
    <row r="92">
      <c r="A92" s="2" t="n"/>
      <c r="B92" s="2" t="n"/>
      <c r="C92" s="2" t="n"/>
      <c r="D92" s="2" t="n"/>
      <c r="E92" s="2" t="n"/>
      <c r="F92" s="3" t="n"/>
      <c r="G92" s="4" t="n"/>
      <c r="H92" s="3" t="n"/>
      <c r="I92" s="5">
        <f>IF(H92="","",TODAY()-H92)</f>
        <v/>
      </c>
      <c r="J92" s="2" t="n"/>
    </row>
    <row r="93">
      <c r="A93" s="6" t="n"/>
      <c r="B93" s="6" t="n"/>
      <c r="C93" s="6" t="n"/>
      <c r="D93" s="6" t="n"/>
      <c r="E93" s="6" t="n"/>
      <c r="F93" s="7" t="n"/>
      <c r="G93" s="8" t="n"/>
      <c r="H93" s="7" t="n"/>
      <c r="I93" s="9">
        <f>IF(H93="","",TODAY()-H93)</f>
        <v/>
      </c>
      <c r="J93" s="6" t="n"/>
    </row>
    <row r="94">
      <c r="A94" s="2" t="n"/>
      <c r="B94" s="2" t="n"/>
      <c r="C94" s="2" t="n"/>
      <c r="D94" s="2" t="n"/>
      <c r="E94" s="2" t="n"/>
      <c r="F94" s="3" t="n"/>
      <c r="G94" s="4" t="n"/>
      <c r="H94" s="3" t="n"/>
      <c r="I94" s="5">
        <f>IF(H94="","",TODAY()-H94)</f>
        <v/>
      </c>
      <c r="J94" s="2" t="n"/>
    </row>
    <row r="95">
      <c r="A95" s="6" t="n"/>
      <c r="B95" s="6" t="n"/>
      <c r="C95" s="6" t="n"/>
      <c r="D95" s="6" t="n"/>
      <c r="E95" s="6" t="n"/>
      <c r="F95" s="7" t="n"/>
      <c r="G95" s="8" t="n"/>
      <c r="H95" s="7" t="n"/>
      <c r="I95" s="9">
        <f>IF(H95="","",TODAY()-H95)</f>
        <v/>
      </c>
      <c r="J95" s="6" t="n"/>
    </row>
    <row r="96">
      <c r="A96" s="2" t="n"/>
      <c r="B96" s="2" t="n"/>
      <c r="C96" s="2" t="n"/>
      <c r="D96" s="2" t="n"/>
      <c r="E96" s="2" t="n"/>
      <c r="F96" s="3" t="n"/>
      <c r="G96" s="4" t="n"/>
      <c r="H96" s="3" t="n"/>
      <c r="I96" s="5">
        <f>IF(H96="","",TODAY()-H96)</f>
        <v/>
      </c>
      <c r="J96" s="2" t="n"/>
    </row>
    <row r="97">
      <c r="A97" s="6" t="n"/>
      <c r="B97" s="6" t="n"/>
      <c r="C97" s="6" t="n"/>
      <c r="D97" s="6" t="n"/>
      <c r="E97" s="6" t="n"/>
      <c r="F97" s="7" t="n"/>
      <c r="G97" s="8" t="n"/>
      <c r="H97" s="7" t="n"/>
      <c r="I97" s="9">
        <f>IF(H97="","",TODAY()-H97)</f>
        <v/>
      </c>
      <c r="J97" s="6" t="n"/>
    </row>
    <row r="98">
      <c r="A98" s="2" t="n"/>
      <c r="B98" s="2" t="n"/>
      <c r="C98" s="2" t="n"/>
      <c r="D98" s="2" t="n"/>
      <c r="E98" s="2" t="n"/>
      <c r="F98" s="3" t="n"/>
      <c r="G98" s="4" t="n"/>
      <c r="H98" s="3" t="n"/>
      <c r="I98" s="5">
        <f>IF(H98="","",TODAY()-H98)</f>
        <v/>
      </c>
      <c r="J98" s="2" t="n"/>
    </row>
    <row r="99">
      <c r="A99" s="6" t="n"/>
      <c r="B99" s="6" t="n"/>
      <c r="C99" s="6" t="n"/>
      <c r="D99" s="6" t="n"/>
      <c r="E99" s="6" t="n"/>
      <c r="F99" s="7" t="n"/>
      <c r="G99" s="8" t="n"/>
      <c r="H99" s="7" t="n"/>
      <c r="I99" s="9">
        <f>IF(H99="","",TODAY()-H99)</f>
        <v/>
      </c>
      <c r="J99" s="6" t="n"/>
    </row>
    <row r="100">
      <c r="A100" s="2" t="n"/>
      <c r="B100" s="2" t="n"/>
      <c r="C100" s="2" t="n"/>
      <c r="D100" s="2" t="n"/>
      <c r="E100" s="2" t="n"/>
      <c r="F100" s="3" t="n"/>
      <c r="G100" s="4" t="n"/>
      <c r="H100" s="3" t="n"/>
      <c r="I100" s="5">
        <f>IF(H100="","",TODAY()-H100)</f>
        <v/>
      </c>
      <c r="J100" s="2" t="n"/>
    </row>
    <row r="101">
      <c r="A101" s="6" t="n"/>
      <c r="B101" s="6" t="n"/>
      <c r="C101" s="6" t="n"/>
      <c r="D101" s="6" t="n"/>
      <c r="E101" s="6" t="n"/>
      <c r="F101" s="7" t="n"/>
      <c r="G101" s="8" t="n"/>
      <c r="H101" s="7" t="n"/>
      <c r="I101" s="9">
        <f>IF(H101="","",TODAY()-H101)</f>
        <v/>
      </c>
      <c r="J101" s="6" t="n"/>
    </row>
  </sheetData>
  <autoFilter ref="A1:J101"/>
  <dataValidations count="2">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showDropDown="0" showInputMessage="0" showErrorMessage="0" allowBlank="1" type="list">
      <formula1>"財布,バッグ"</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showDropDown="0" showInputMessage="0" showErrorMessage="0" allowBlank="1" type="list">
      <formula1>"エコリング,オークネット,ヤフオク,メルカリ"</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10" customWidth="1" min="3" max="3"/>
    <col width="35" customWidth="1" min="4" max="4"/>
    <col width="14" customWidth="1" min="5" max="5"/>
    <col width="12" customWidth="1" min="6" max="6"/>
    <col width="14" customWidth="1" min="7" max="7"/>
    <col width="12" customWidth="1" min="8" max="8"/>
    <col width="14" customWidth="1" min="9" max="9"/>
    <col width="14" customWidth="1" min="10" max="10"/>
    <col width="14" customWidth="1" min="11" max="11"/>
    <col width="10" customWidth="1" min="12" max="12"/>
    <col width="14" customWidth="1" min="13" max="13"/>
    <col width="10" customWidth="1" min="14" max="14"/>
    <col width="14" customWidth="1" min="15" max="15"/>
    <col width="10" customWidth="1" min="16" max="16"/>
    <col width="25" customWidth="1" min="17" max="17"/>
  </cols>
  <sheetData>
    <row r="1" ht="30" customHeight="1">
      <c r="A1" s="1" t="inlineStr">
        <is>
          <t>番号</t>
        </is>
      </c>
      <c r="B1" s="1" t="inlineStr">
        <is>
          <t>個数</t>
        </is>
      </c>
      <c r="C1" s="1" t="inlineStr">
        <is>
          <t>カテゴリ</t>
        </is>
      </c>
      <c r="D1" s="1" t="inlineStr">
        <is>
          <t>商品名</t>
        </is>
      </c>
      <c r="E1" s="1" t="inlineStr">
        <is>
          <t>仕入れ先</t>
        </is>
      </c>
      <c r="F1" s="1" t="inlineStr">
        <is>
          <t>仕入日</t>
        </is>
      </c>
      <c r="G1" s="1" t="inlineStr">
        <is>
          <t>仕入金額</t>
        </is>
      </c>
      <c r="H1" s="1" t="inlineStr">
        <is>
          <t>掲載日</t>
        </is>
      </c>
      <c r="I1" s="1" t="inlineStr">
        <is>
          <t>販売先</t>
        </is>
      </c>
      <c r="J1" s="1" t="inlineStr">
        <is>
          <t>販売金額</t>
        </is>
      </c>
      <c r="K1" s="1" t="inlineStr">
        <is>
          <t>購入された日</t>
        </is>
      </c>
      <c r="L1" s="1" t="inlineStr">
        <is>
          <t>販売日数</t>
        </is>
      </c>
      <c r="M1" s="1" t="inlineStr">
        <is>
          <t>販売手数料</t>
        </is>
      </c>
      <c r="N1" s="1" t="inlineStr">
        <is>
          <t>送料</t>
        </is>
      </c>
      <c r="O1" s="1" t="inlineStr">
        <is>
          <t>利益</t>
        </is>
      </c>
      <c r="P1" s="1" t="inlineStr">
        <is>
          <t>利益率</t>
        </is>
      </c>
      <c r="Q1" s="1" t="inlineStr">
        <is>
          <t>メモ</t>
        </is>
      </c>
    </row>
    <row r="2">
      <c r="A2" s="2" t="n">
        <v>88</v>
      </c>
      <c r="B2" s="12" t="n">
        <v>1</v>
      </c>
      <c r="C2" s="2" t="inlineStr">
        <is>
          <t>バッグ</t>
        </is>
      </c>
      <c r="D2" s="2" t="inlineStr">
        <is>
          <t>HERMES ボリード ボリード ゴールド ○V刻印 ゴールド金具 ショルダーバッグ</t>
        </is>
      </c>
      <c r="E2" s="2" t="inlineStr">
        <is>
          <t>エコリング</t>
        </is>
      </c>
      <c r="F2" s="3" t="n">
        <v>45736</v>
      </c>
      <c r="G2" s="4" t="n">
        <v>134200</v>
      </c>
      <c r="H2" s="3" t="n">
        <v>45742</v>
      </c>
      <c r="I2" s="2" t="inlineStr">
        <is>
          <t>ヤフオク</t>
        </is>
      </c>
      <c r="J2" s="4" t="n">
        <v>172500</v>
      </c>
      <c r="K2" s="3" t="n">
        <v>45890</v>
      </c>
      <c r="L2" s="5">
        <f>IF(K2="","",K2-H2)</f>
        <v/>
      </c>
      <c r="M2" s="4" t="n">
        <v>17098</v>
      </c>
      <c r="N2" s="4" t="n">
        <v>1200</v>
      </c>
      <c r="O2" s="4">
        <f>IF(J2="","",J2-G2-M2-N2)</f>
        <v/>
      </c>
      <c r="P2" s="10">
        <f>IF(J2="","",O2/J2)</f>
        <v/>
      </c>
      <c r="Q2" s="2" t="inlineStr"/>
    </row>
    <row r="3">
      <c r="A3" s="6" t="n">
        <v>90</v>
      </c>
      <c r="B3" s="13" t="n">
        <v>1</v>
      </c>
      <c r="C3" s="6" t="inlineStr">
        <is>
          <t>財布</t>
        </is>
      </c>
      <c r="D3" s="6" t="inlineStr">
        <is>
          <t>1円 CHANEL シャネル ココマーク キャビアスキン がま口 二つ折り 長財布 ウォレット 小銭入れ 札入れ レディース ブラック系</t>
        </is>
      </c>
      <c r="E3" s="6" t="inlineStr">
        <is>
          <t>ヤフオク</t>
        </is>
      </c>
      <c r="F3" s="7" t="n">
        <v>45741</v>
      </c>
      <c r="G3" s="8" t="n">
        <v>7907</v>
      </c>
      <c r="H3" s="7" t="n">
        <v>45745</v>
      </c>
      <c r="I3" s="6" t="inlineStr">
        <is>
          <t>メルカリ</t>
        </is>
      </c>
      <c r="J3" s="8" t="n">
        <v>13000</v>
      </c>
      <c r="K3" s="7" t="n">
        <v>45892</v>
      </c>
      <c r="L3" s="9">
        <f>IF(K3="","",K3-H3)</f>
        <v/>
      </c>
      <c r="M3" s="8" t="n">
        <v>1300</v>
      </c>
      <c r="N3" s="8" t="n">
        <v>210</v>
      </c>
      <c r="O3" s="8">
        <f>IF(J3="","",J3-G3-M3-N3)</f>
        <v/>
      </c>
      <c r="P3" s="11">
        <f>IF(J3="","",O3/J3)</f>
        <v/>
      </c>
      <c r="Q3" s="6" t="inlineStr"/>
    </row>
    <row r="4">
      <c r="A4" s="2" t="n">
        <v>102</v>
      </c>
      <c r="B4" s="12" t="n">
        <v>1</v>
      </c>
      <c r="C4" s="2" t="inlineStr">
        <is>
          <t>バッグ</t>
        </is>
      </c>
      <c r="D4" s="2" t="inlineStr">
        <is>
          <t>LOUIS VUITTON M53151 モノグラム アルマ ハンドバッグ</t>
        </is>
      </c>
      <c r="E4" s="2" t="inlineStr">
        <is>
          <t>エコリング</t>
        </is>
      </c>
      <c r="F4" s="3" t="n">
        <v>45807</v>
      </c>
      <c r="G4" s="4" t="n">
        <v>37400</v>
      </c>
      <c r="H4" s="3" t="n">
        <v>45817</v>
      </c>
      <c r="I4" s="2" t="inlineStr">
        <is>
          <t>ラクマ</t>
        </is>
      </c>
      <c r="J4" s="4" t="n">
        <v>42000</v>
      </c>
      <c r="K4" s="3" t="n">
        <v>45910</v>
      </c>
      <c r="L4" s="5">
        <f>IF(K4="","",K4-H4)</f>
        <v/>
      </c>
      <c r="M4" s="4" t="n">
        <v>4200</v>
      </c>
      <c r="N4" s="4" t="n">
        <v>1050</v>
      </c>
      <c r="O4" s="4">
        <f>IF(J4="","",J4-G4-M4-N4)</f>
        <v/>
      </c>
      <c r="P4" s="10">
        <f>IF(J4="","",O4/J4)</f>
        <v/>
      </c>
      <c r="Q4" s="2" t="inlineStr"/>
    </row>
    <row r="5">
      <c r="A5" s="6" t="n">
        <v>100</v>
      </c>
      <c r="B5" s="13" t="n">
        <v>1</v>
      </c>
      <c r="C5" s="6" t="inlineStr">
        <is>
          <t>バッグ</t>
        </is>
      </c>
      <c r="D5" s="6" t="inlineStr">
        <is>
          <t>LOUIS VUITTON モノグラム M40878 アルマMM ハンドバッグ</t>
        </is>
      </c>
      <c r="E5" s="6" t="inlineStr">
        <is>
          <t>エコリング</t>
        </is>
      </c>
      <c r="F5" s="7" t="n">
        <v>45807</v>
      </c>
      <c r="G5" s="8" t="n">
        <v>34100</v>
      </c>
      <c r="H5" s="7" t="n">
        <v>45817</v>
      </c>
      <c r="I5" s="6" t="inlineStr">
        <is>
          <t>メルカリ</t>
        </is>
      </c>
      <c r="J5" s="8" t="n">
        <v>45800</v>
      </c>
      <c r="K5" s="7" t="n">
        <v>45927</v>
      </c>
      <c r="L5" s="9">
        <f>IF(K5="","",K5-H5)</f>
        <v/>
      </c>
      <c r="M5" s="8" t="n">
        <v>4580</v>
      </c>
      <c r="N5" s="8" t="n">
        <v>1050</v>
      </c>
      <c r="O5" s="8">
        <f>IF(J5="","",J5-G5-M5-N5)</f>
        <v/>
      </c>
      <c r="P5" s="11">
        <f>IF(J5="","",O5/J5)</f>
        <v/>
      </c>
      <c r="Q5" s="6" t="inlineStr"/>
    </row>
    <row r="6">
      <c r="A6" s="2" t="n">
        <v>97</v>
      </c>
      <c r="B6" s="12" t="n">
        <v>1</v>
      </c>
      <c r="C6" s="2" t="inlineStr">
        <is>
          <t>財布</t>
        </is>
      </c>
      <c r="D6" s="2" t="inlineStr">
        <is>
          <t>CHANEL キャビアスキン CCフィリングリー ココマーク 3つ折り 財布</t>
        </is>
      </c>
      <c r="E6" s="2" t="inlineStr">
        <is>
          <t>エコリング</t>
        </is>
      </c>
      <c r="F6" s="3" t="n">
        <v>45807</v>
      </c>
      <c r="G6" s="4" t="n">
        <v>48400</v>
      </c>
      <c r="H6" s="3" t="n">
        <v>45813</v>
      </c>
      <c r="I6" s="2" t="inlineStr">
        <is>
          <t>ラクマ</t>
        </is>
      </c>
      <c r="J6" s="4" t="n">
        <v>70500</v>
      </c>
      <c r="K6" s="3" t="n">
        <v>45930</v>
      </c>
      <c r="L6" s="5">
        <f>IF(K6="","",K6-H6)</f>
        <v/>
      </c>
      <c r="M6" s="4" t="n">
        <v>7050</v>
      </c>
      <c r="N6" s="4" t="n">
        <v>200</v>
      </c>
      <c r="O6" s="4">
        <f>IF(J6="","",J6-G6-M6-N6)</f>
        <v/>
      </c>
      <c r="P6" s="10">
        <f>IF(J6="","",O6/J6)</f>
        <v/>
      </c>
      <c r="Q6" s="2" t="inlineStr"/>
    </row>
    <row r="7">
      <c r="A7" s="6" t="n">
        <v>91</v>
      </c>
      <c r="B7" s="13" t="n">
        <v>1</v>
      </c>
      <c r="C7" s="6" t="inlineStr">
        <is>
          <t>財布</t>
        </is>
      </c>
      <c r="D7" s="6" t="inlineStr">
        <is>
          <t>1円 CHANEL シャネル ココマーク キャビアスキン 二つ折り 長財布 ウォレット 札入れ 小銭入れ レディース ブラック系</t>
        </is>
      </c>
      <c r="E7" s="6" t="inlineStr">
        <is>
          <t>ヤフオク</t>
        </is>
      </c>
      <c r="F7" s="7" t="n">
        <v>45743</v>
      </c>
      <c r="G7" s="8" t="n">
        <v>7864</v>
      </c>
      <c r="H7" s="7" t="n">
        <v>45747</v>
      </c>
      <c r="I7" s="6" t="inlineStr">
        <is>
          <t>メルカリ</t>
        </is>
      </c>
      <c r="J7" s="8" t="n">
        <v>13700</v>
      </c>
      <c r="K7" s="7" t="n">
        <v>45939</v>
      </c>
      <c r="L7" s="9">
        <f>IF(K7="","",K7-H7)</f>
        <v/>
      </c>
      <c r="M7" s="8" t="n">
        <v>1370</v>
      </c>
      <c r="N7" s="8" t="n">
        <v>210</v>
      </c>
      <c r="O7" s="8">
        <f>IF(J7="","",J7-G7-M7-N7)</f>
        <v/>
      </c>
      <c r="P7" s="11">
        <f>IF(J7="","",O7/J7)</f>
        <v/>
      </c>
      <c r="Q7" s="6" t="inlineStr"/>
    </row>
    <row r="8">
      <c r="A8" s="2" t="n">
        <v>101</v>
      </c>
      <c r="B8" s="12" t="n">
        <v>1</v>
      </c>
      <c r="C8" s="2" t="inlineStr">
        <is>
          <t>バッグ</t>
        </is>
      </c>
      <c r="D8" s="2" t="inlineStr">
        <is>
          <t>LOUIS VUITTON M51130 モノグラム M40878 アルマMM ハンドバッグ</t>
        </is>
      </c>
      <c r="E8" s="2" t="inlineStr">
        <is>
          <t>エコリング</t>
        </is>
      </c>
      <c r="F8" s="3" t="n">
        <v>45807</v>
      </c>
      <c r="G8" s="4" t="n">
        <v>42900</v>
      </c>
      <c r="H8" s="3" t="n">
        <v>45817</v>
      </c>
      <c r="I8" s="2" t="inlineStr">
        <is>
          <t>PayPay</t>
        </is>
      </c>
      <c r="J8" s="4" t="n">
        <v>49000</v>
      </c>
      <c r="K8" s="3" t="n">
        <v>45944</v>
      </c>
      <c r="L8" s="5">
        <f>IF(K8="","",K8-H8)</f>
        <v/>
      </c>
      <c r="M8" s="4" t="n">
        <v>2447</v>
      </c>
      <c r="N8" s="4" t="n">
        <v>850</v>
      </c>
      <c r="O8" s="4">
        <f>IF(J8="","",J8-G8-M8-N8)</f>
        <v/>
      </c>
      <c r="P8" s="10">
        <f>IF(J8="","",O8/J8)</f>
        <v/>
      </c>
      <c r="Q8" s="2" t="inlineStr"/>
    </row>
    <row r="9">
      <c r="A9" s="6" t="n">
        <v>99</v>
      </c>
      <c r="B9" s="13" t="n">
        <v>1</v>
      </c>
      <c r="C9" s="6" t="inlineStr">
        <is>
          <t>バッグ</t>
        </is>
      </c>
      <c r="D9" s="6" t="inlineStr">
        <is>
          <t>CHANEL ラムスキン マトラッセ プッシュロック チェーンショルダー ショルダーバッグ</t>
        </is>
      </c>
      <c r="E9" s="6" t="inlineStr">
        <is>
          <t>エコリング</t>
        </is>
      </c>
      <c r="F9" s="7" t="n">
        <v>45807</v>
      </c>
      <c r="G9" s="8" t="n">
        <v>90200</v>
      </c>
      <c r="H9" s="7" t="n">
        <v>45817</v>
      </c>
      <c r="I9" s="6" t="inlineStr">
        <is>
          <t>メルカリ</t>
        </is>
      </c>
      <c r="J9" s="8" t="n">
        <v>133000</v>
      </c>
      <c r="K9" s="7" t="n">
        <v>45946</v>
      </c>
      <c r="L9" s="9">
        <f>IF(K9="","",K9-H9)</f>
        <v/>
      </c>
      <c r="M9" s="8" t="n">
        <v>13300</v>
      </c>
      <c r="N9" s="8" t="n">
        <v>450</v>
      </c>
      <c r="O9" s="8">
        <f>IF(J9="","",J9-G9-M9-N9)</f>
        <v/>
      </c>
      <c r="P9" s="11">
        <f>IF(J9="","",O9/J9)</f>
        <v/>
      </c>
      <c r="Q9" s="6" t="inlineStr"/>
    </row>
    <row r="10">
      <c r="A10" s="2" t="n">
        <v>103</v>
      </c>
      <c r="B10" s="12" t="n">
        <v>1</v>
      </c>
      <c r="C10" s="2" t="inlineStr">
        <is>
          <t>バッグ</t>
        </is>
      </c>
      <c r="D10" s="2" t="inlineStr">
        <is>
          <t>LOUIS VUITTON M51130 モノグラム アルマ ハンドバッグ</t>
        </is>
      </c>
      <c r="E10" s="2" t="inlineStr">
        <is>
          <t>エコリング</t>
        </is>
      </c>
      <c r="F10" s="3" t="n">
        <v>45807</v>
      </c>
      <c r="G10" s="4" t="n">
        <v>39600</v>
      </c>
      <c r="H10" s="3" t="n">
        <v>45817</v>
      </c>
      <c r="I10" s="2" t="inlineStr">
        <is>
          <t>メルカリ</t>
        </is>
      </c>
      <c r="J10" s="4" t="n">
        <v>46000</v>
      </c>
      <c r="K10" s="3" t="n">
        <v>45970</v>
      </c>
      <c r="L10" s="5">
        <f>IF(K10="","",K10-H10)</f>
        <v/>
      </c>
      <c r="M10" s="4" t="n">
        <v>4600</v>
      </c>
      <c r="N10" s="4" t="n">
        <v>850</v>
      </c>
      <c r="O10" s="4">
        <f>IF(J10="","",J10-G10-M10-N10)</f>
        <v/>
      </c>
      <c r="P10" s="10">
        <f>IF(J10="","",O10/J10)</f>
        <v/>
      </c>
      <c r="Q10" s="2" t="inlineStr"/>
    </row>
    <row r="11">
      <c r="A11" s="6" t="n">
        <v>107</v>
      </c>
      <c r="B11" s="13" t="n">
        <v>1</v>
      </c>
      <c r="C11" s="6" t="inlineStr">
        <is>
          <t>財布</t>
        </is>
      </c>
      <c r="D11" s="6" t="inlineStr">
        <is>
          <t>CHANEL カンボンライン ココマーク 財布</t>
        </is>
      </c>
      <c r="E11" s="6" t="inlineStr">
        <is>
          <t>エコリング</t>
        </is>
      </c>
      <c r="F11" s="7" t="n">
        <v>45967</v>
      </c>
      <c r="G11" s="8" t="n">
        <v>18700</v>
      </c>
      <c r="H11" s="7" t="n">
        <v>45971</v>
      </c>
      <c r="I11" s="6" t="inlineStr">
        <is>
          <t>メルカリ</t>
        </is>
      </c>
      <c r="J11" s="8" t="n">
        <v>30800</v>
      </c>
      <c r="K11" s="7" t="n">
        <v>45972</v>
      </c>
      <c r="L11" s="9">
        <f>IF(K11="","",K11-H11)</f>
        <v/>
      </c>
      <c r="M11" s="8" t="n">
        <v>3080</v>
      </c>
      <c r="N11" s="8" t="n">
        <v>210</v>
      </c>
      <c r="O11" s="8">
        <f>IF(J11="","",J11-G11-M11-N11)</f>
        <v/>
      </c>
      <c r="P11" s="11">
        <f>IF(J11="","",O11/J11)</f>
        <v/>
      </c>
      <c r="Q11" s="6" t="inlineStr"/>
    </row>
    <row r="12">
      <c r="A12" s="2" t="n">
        <v>87</v>
      </c>
      <c r="B12" s="12" t="n">
        <v>1</v>
      </c>
      <c r="C12" s="2" t="inlineStr">
        <is>
          <t>財布</t>
        </is>
      </c>
      <c r="D12" s="2" t="inlineStr">
        <is>
          <t>LOUIS VUITTON モノグラム アンプラント ヴィトン モノグラムアンプラント ジッピーウォレット</t>
        </is>
      </c>
      <c r="E12" s="2" t="inlineStr">
        <is>
          <t>エコリング</t>
        </is>
      </c>
      <c r="F12" s="3" t="n">
        <v>45735</v>
      </c>
      <c r="G12" s="4" t="n">
        <v>38500</v>
      </c>
      <c r="H12" s="3" t="n">
        <v>45742</v>
      </c>
      <c r="I12" s="2" t="inlineStr">
        <is>
          <t>エコリング</t>
        </is>
      </c>
      <c r="J12" s="4" t="n">
        <v>27500</v>
      </c>
      <c r="K12" s="3" t="n">
        <v>45975</v>
      </c>
      <c r="L12" s="5">
        <f>IF(K12="","",K12-H12)</f>
        <v/>
      </c>
      <c r="M12" s="4" t="n">
        <v>0</v>
      </c>
      <c r="N12" s="4" t="n">
        <v>252</v>
      </c>
      <c r="O12" s="4">
        <f>IF(J12="","",J12-G12-M12-N12)</f>
        <v/>
      </c>
      <c r="P12" s="10">
        <f>IF(J12="","",O12/J12)</f>
        <v/>
      </c>
      <c r="Q12" s="2" t="inlineStr"/>
    </row>
    <row r="13">
      <c r="A13" s="6" t="n">
        <v>94</v>
      </c>
      <c r="B13" s="13" t="n">
        <v>1</v>
      </c>
      <c r="C13" s="6" t="inlineStr">
        <is>
          <t>財布</t>
        </is>
      </c>
      <c r="D13" s="6" t="inlineStr">
        <is>
          <t>LOUIS VUITTON モノグラム ポルトフォイユブラザNM M69029 TA4149 財布</t>
        </is>
      </c>
      <c r="E13" s="6" t="inlineStr">
        <is>
          <t>エコリング</t>
        </is>
      </c>
      <c r="F13" s="7" t="n">
        <v>45750</v>
      </c>
      <c r="G13" s="8" t="n">
        <v>25300</v>
      </c>
      <c r="H13" s="7" t="n">
        <v>45754</v>
      </c>
      <c r="I13" s="6" t="inlineStr">
        <is>
          <t>エコリング</t>
        </is>
      </c>
      <c r="J13" s="8" t="n">
        <v>19800</v>
      </c>
      <c r="K13" s="7" t="n">
        <v>45975</v>
      </c>
      <c r="L13" s="9">
        <f>IF(K13="","",K13-H13)</f>
        <v/>
      </c>
      <c r="M13" s="8" t="n">
        <v>0</v>
      </c>
      <c r="N13" s="8" t="n">
        <v>252</v>
      </c>
      <c r="O13" s="8">
        <f>IF(J13="","",J13-G13-M13-N13)</f>
        <v/>
      </c>
      <c r="P13" s="11">
        <f>IF(J13="","",O13/J13)</f>
        <v/>
      </c>
      <c r="Q13" s="6" t="inlineStr"/>
    </row>
    <row r="14">
      <c r="A14" s="2" t="n">
        <v>98</v>
      </c>
      <c r="B14" s="12" t="n">
        <v>1</v>
      </c>
      <c r="C14" s="2" t="inlineStr">
        <is>
          <t>財布</t>
        </is>
      </c>
      <c r="D14" s="2" t="inlineStr">
        <is>
          <t>CHANEL ラムスキン コンパクト財布 3つ折り 財布</t>
        </is>
      </c>
      <c r="E14" s="2" t="inlineStr">
        <is>
          <t>エコリング</t>
        </is>
      </c>
      <c r="F14" s="3" t="n">
        <v>45807</v>
      </c>
      <c r="G14" s="4" t="n">
        <v>48400</v>
      </c>
      <c r="H14" s="3" t="n">
        <v>45813</v>
      </c>
      <c r="I14" s="2" t="inlineStr">
        <is>
          <t>エコリング</t>
        </is>
      </c>
      <c r="J14" s="4" t="n">
        <v>47300</v>
      </c>
      <c r="K14" s="3" t="n">
        <v>45975</v>
      </c>
      <c r="L14" s="5">
        <f>IF(K14="","",K14-H14)</f>
        <v/>
      </c>
      <c r="M14" s="4" t="n">
        <v>0</v>
      </c>
      <c r="N14" s="4" t="n">
        <v>252</v>
      </c>
      <c r="O14" s="4">
        <f>IF(J14="","",J14-G14-M14-N14)</f>
        <v/>
      </c>
      <c r="P14" s="10">
        <f>IF(J14="","",O14/J14)</f>
        <v/>
      </c>
      <c r="Q14" s="2" t="inlineStr"/>
    </row>
    <row r="15">
      <c r="A15" s="6" t="n">
        <v>104</v>
      </c>
      <c r="B15" s="13" t="n">
        <v>1</v>
      </c>
      <c r="C15" s="6" t="inlineStr">
        <is>
          <t>バッグ</t>
        </is>
      </c>
      <c r="D15" s="6" t="inlineStr">
        <is>
          <t>ＣＨＡＮＥＬ　シャネル　デカ　ココマーク　キャビアスキン　チェーン　ウォレット</t>
        </is>
      </c>
      <c r="E15" s="6" t="inlineStr">
        <is>
          <t>オークネット</t>
        </is>
      </c>
      <c r="F15" s="7" t="n">
        <v>45818</v>
      </c>
      <c r="G15" s="8" t="n">
        <v>116600</v>
      </c>
      <c r="H15" s="7" t="n">
        <v>45821</v>
      </c>
      <c r="I15" s="6" t="inlineStr">
        <is>
          <t>エコリング</t>
        </is>
      </c>
      <c r="J15" s="8" t="n">
        <v>116600</v>
      </c>
      <c r="K15" s="7" t="n">
        <v>45982</v>
      </c>
      <c r="L15" s="9">
        <f>IF(K15="","",K15-H15)</f>
        <v/>
      </c>
      <c r="M15" s="8" t="n">
        <v>0</v>
      </c>
      <c r="N15" s="8" t="n">
        <v>252</v>
      </c>
      <c r="O15" s="8">
        <f>IF(J15="","",J15-G15-M15-N15)</f>
        <v/>
      </c>
      <c r="P15" s="11">
        <f>IF(J15="","",O15/J15)</f>
        <v/>
      </c>
      <c r="Q15" s="6" t="inlineStr">
        <is>
          <t>保存袋あり</t>
        </is>
      </c>
    </row>
    <row r="16">
      <c r="A16" s="2" t="n">
        <v>106</v>
      </c>
      <c r="B16" s="12" t="n">
        <v>1</v>
      </c>
      <c r="C16" s="2" t="inlineStr">
        <is>
          <t>財布</t>
        </is>
      </c>
      <c r="D16" s="2" t="inlineStr">
        <is>
          <t>マトラッセ コインパース ＧＴ７Ｋ３ＴＰＡ</t>
        </is>
      </c>
      <c r="E16" s="2" t="inlineStr">
        <is>
          <t>オークネット</t>
        </is>
      </c>
      <c r="F16" s="3" t="n">
        <v>45957</v>
      </c>
      <c r="G16" s="4" t="n">
        <v>51750</v>
      </c>
      <c r="H16" s="3" t="n">
        <v>45964</v>
      </c>
      <c r="I16" s="2" t="inlineStr">
        <is>
          <t>メルカリ</t>
        </is>
      </c>
      <c r="J16" s="4" t="n">
        <v>73000</v>
      </c>
      <c r="K16" s="3" t="n">
        <v>46016</v>
      </c>
      <c r="L16" s="5">
        <f>IF(K16="","",K16-H16)</f>
        <v/>
      </c>
      <c r="M16" s="4" t="n">
        <v>7300</v>
      </c>
      <c r="N16" s="4" t="n">
        <v>450</v>
      </c>
      <c r="O16" s="4">
        <f>IF(J16="","",J16-G16-M16-N16)</f>
        <v/>
      </c>
      <c r="P16" s="10">
        <f>IF(J16="","",O16/J16)</f>
        <v/>
      </c>
      <c r="Q16" s="2" t="inlineStr">
        <is>
          <t>箱有＋ギャランティ</t>
        </is>
      </c>
    </row>
    <row r="17">
      <c r="A17" s="6" t="n">
        <v>108</v>
      </c>
      <c r="B17" s="13" t="n">
        <v>1</v>
      </c>
      <c r="C17" s="6" t="inlineStr">
        <is>
          <t>財布</t>
        </is>
      </c>
      <c r="D17" s="6" t="inlineStr">
        <is>
          <t>CHANEL カンボンライン 長財布</t>
        </is>
      </c>
      <c r="E17" s="6" t="inlineStr">
        <is>
          <t>エコリング</t>
        </is>
      </c>
      <c r="F17" s="7" t="n">
        <v>45967</v>
      </c>
      <c r="G17" s="8" t="n">
        <v>18700</v>
      </c>
      <c r="H17" s="7" t="n">
        <v>45971</v>
      </c>
      <c r="I17" s="6" t="inlineStr">
        <is>
          <t>メルカリ</t>
        </is>
      </c>
      <c r="J17" s="8" t="n">
        <v>36700</v>
      </c>
      <c r="K17" s="7" t="n">
        <v>46036</v>
      </c>
      <c r="L17" s="9">
        <f>IF(K17="","",K17-H17)</f>
        <v/>
      </c>
      <c r="M17" s="8" t="n">
        <v>3670</v>
      </c>
      <c r="N17" s="8" t="n">
        <v>210</v>
      </c>
      <c r="O17" s="8">
        <f>IF(J17="","",J17-G17-M17-N17)</f>
        <v/>
      </c>
      <c r="P17" s="11">
        <f>IF(J17="","",O17/J17)</f>
        <v/>
      </c>
      <c r="Q17" s="6" t="inlineStr"/>
    </row>
    <row r="18">
      <c r="A18" s="2" t="n">
        <v>89</v>
      </c>
      <c r="B18" s="12" t="n">
        <v>1</v>
      </c>
      <c r="C18" s="2" t="inlineStr">
        <is>
          <t>財布</t>
        </is>
      </c>
      <c r="D18" s="2" t="inlineStr">
        <is>
          <t>1円 CHANEL シャネル ココマーク キャビアスキン 二つ折り 財布 ウォレット 札入れ 小銭入れ レディース ブラック系 FK5312</t>
        </is>
      </c>
      <c r="E18" s="2" t="inlineStr">
        <is>
          <t>ヤフオク</t>
        </is>
      </c>
      <c r="F18" s="3" t="n">
        <v>45739</v>
      </c>
      <c r="G18" s="4" t="n">
        <v>6386</v>
      </c>
      <c r="H18" s="3" t="n">
        <v>45742</v>
      </c>
      <c r="I18" s="2" t="inlineStr">
        <is>
          <t>ラクマ</t>
        </is>
      </c>
      <c r="J18" s="4" t="n">
        <v>8200</v>
      </c>
      <c r="K18" s="3" t="n">
        <v>46045</v>
      </c>
      <c r="L18" s="5">
        <f>IF(K18="","",K18-H18)</f>
        <v/>
      </c>
      <c r="M18" s="4" t="n">
        <v>820</v>
      </c>
      <c r="N18" s="4" t="n">
        <v>200</v>
      </c>
      <c r="O18" s="4">
        <f>IF(J18="","",J18-G18-M18-N18)</f>
        <v/>
      </c>
      <c r="P18" s="10">
        <f>IF(J18="","",O18/J18)</f>
        <v/>
      </c>
      <c r="Q18" s="2" t="inlineStr"/>
    </row>
    <row r="19">
      <c r="A19" s="6" t="n">
        <v>111</v>
      </c>
      <c r="B19" s="13" t="n">
        <v>1</v>
      </c>
      <c r="C19" s="6" t="inlineStr">
        <is>
          <t>財布</t>
        </is>
      </c>
      <c r="D19" s="6" t="inlineStr">
        <is>
          <t>ＣＨＡＮＥＬ その他ライン バッグ 三つ折り財布</t>
        </is>
      </c>
      <c r="E19" s="6" t="inlineStr">
        <is>
          <t>オークネット</t>
        </is>
      </c>
      <c r="F19" s="7" t="n">
        <v>45993</v>
      </c>
      <c r="G19" s="8" t="n">
        <v>31482</v>
      </c>
      <c r="H19" s="7" t="n">
        <v>46006</v>
      </c>
      <c r="I19" s="6" t="inlineStr">
        <is>
          <t>PayPay</t>
        </is>
      </c>
      <c r="J19" s="8" t="n">
        <v>40300</v>
      </c>
      <c r="K19" s="7" t="n">
        <v>46071</v>
      </c>
      <c r="L19" s="9">
        <f>IF(K19="","",K19-H19)</f>
        <v/>
      </c>
      <c r="M19" s="8" t="n">
        <v>2013</v>
      </c>
      <c r="N19" s="8" t="n">
        <v>210</v>
      </c>
      <c r="O19" s="8">
        <f>IF(J19="","",J19-G19-M19-N19)</f>
        <v/>
      </c>
      <c r="P19" s="11">
        <f>IF(J19="","",O19/J19)</f>
        <v/>
      </c>
      <c r="Q19" s="6" t="inlineStr">
        <is>
          <t>ピン欠損</t>
        </is>
      </c>
    </row>
    <row r="20">
      <c r="A20" s="2" t="n">
        <v>96</v>
      </c>
      <c r="B20" s="12" t="n">
        <v>1</v>
      </c>
      <c r="C20" s="2" t="inlineStr">
        <is>
          <t>バッグ</t>
        </is>
      </c>
      <c r="D20" s="2" t="inlineStr">
        <is>
          <t>CHANEL キャビアスキン CHANEL デカココ キャビアスキン チェーンウォレット 18番台 ショルダーバッグ</t>
        </is>
      </c>
      <c r="E20" s="2" t="inlineStr">
        <is>
          <t>エコリング</t>
        </is>
      </c>
      <c r="F20" s="3" t="n">
        <v>45805</v>
      </c>
      <c r="G20" s="4" t="n">
        <v>114400</v>
      </c>
      <c r="H20" s="3" t="n">
        <v>45813</v>
      </c>
      <c r="I20" s="2" t="inlineStr">
        <is>
          <t>メルカリ</t>
        </is>
      </c>
      <c r="J20" s="4" t="n">
        <v>150000</v>
      </c>
      <c r="K20" s="3" t="n">
        <v>46073</v>
      </c>
      <c r="L20" s="5">
        <f>IF(K20="","",K20-H20)</f>
        <v/>
      </c>
      <c r="M20" s="4" t="n">
        <v>15000</v>
      </c>
      <c r="N20" s="4" t="n">
        <v>210</v>
      </c>
      <c r="O20" s="4">
        <f>IF(J20="","",J20-G20-M20-N20)</f>
        <v/>
      </c>
      <c r="P20" s="10">
        <f>IF(J20="","",O20/J20)</f>
        <v/>
      </c>
      <c r="Q20" s="2" t="inlineStr"/>
    </row>
    <row r="21">
      <c r="A21" s="6" t="n">
        <v>110</v>
      </c>
      <c r="B21" s="13" t="n">
        <v>1</v>
      </c>
      <c r="C21" s="6" t="inlineStr">
        <is>
          <t>財布</t>
        </is>
      </c>
      <c r="D21" s="6" t="inlineStr">
        <is>
          <t>ＣＨＡＮＥＬ ラムスキン（バッグ） ジップウォレット ラムスキン 黒 Ｇ</t>
        </is>
      </c>
      <c r="E21" s="6" t="inlineStr">
        <is>
          <t>オークネット</t>
        </is>
      </c>
      <c r="F21" s="7" t="n">
        <v>45979</v>
      </c>
      <c r="G21" s="8" t="n">
        <v>55968</v>
      </c>
      <c r="H21" s="7" t="n">
        <v>45984</v>
      </c>
      <c r="I21" s="6" t="inlineStr">
        <is>
          <t>ヤフオク</t>
        </is>
      </c>
      <c r="J21" s="8" t="n">
        <v>75000</v>
      </c>
      <c r="K21" s="7" t="n">
        <v>46084</v>
      </c>
      <c r="L21" s="9">
        <f>IF(K21="","",K21-H21)</f>
        <v/>
      </c>
      <c r="M21" s="8" t="n">
        <v>7500</v>
      </c>
      <c r="N21" s="8" t="n">
        <v>490</v>
      </c>
      <c r="O21" s="8">
        <f>IF(J21="","",J21-G21-M21-N21)</f>
        <v/>
      </c>
      <c r="P21" s="11">
        <f>IF(J21="","",O21/J21)</f>
        <v/>
      </c>
      <c r="Q21" s="6" t="inlineStr"/>
    </row>
    <row r="22">
      <c r="A22" s="2" t="n">
        <v>105</v>
      </c>
      <c r="B22" s="12" t="n">
        <v>1</v>
      </c>
      <c r="C22" s="2" t="inlineStr">
        <is>
          <t>バッグ</t>
        </is>
      </c>
      <c r="D22" s="2" t="inlineStr">
        <is>
          <t>マトラッセチェーンショルダーバッグ ラムスキン 黒</t>
        </is>
      </c>
      <c r="E22" s="2" t="inlineStr">
        <is>
          <t>オークネット</t>
        </is>
      </c>
      <c r="F22" s="3" t="n">
        <v>45957</v>
      </c>
      <c r="G22" s="4" t="n">
        <v>138000</v>
      </c>
      <c r="H22" s="3" t="n">
        <v>45964</v>
      </c>
      <c r="I22" s="2" t="inlineStr">
        <is>
          <t>メルカリ</t>
        </is>
      </c>
      <c r="J22" s="4" t="n">
        <v>180000</v>
      </c>
      <c r="K22" s="3" t="n">
        <v>46164</v>
      </c>
      <c r="L22" s="5">
        <f>IF(K22="","",K22-H22)</f>
        <v/>
      </c>
      <c r="M22" s="4" t="n">
        <v>18000</v>
      </c>
      <c r="N22" s="4" t="n">
        <v>750</v>
      </c>
      <c r="O22" s="4">
        <f>IF(J22="","",J22-G22-M22-N22)</f>
        <v/>
      </c>
      <c r="P22" s="10">
        <f>IF(J22="","",O22/J22)</f>
        <v/>
      </c>
      <c r="Q22" s="2" t="inlineStr">
        <is>
          <t>箱有＋保存袋</t>
        </is>
      </c>
    </row>
    <row r="23">
      <c r="A23" s="6" t="n">
        <v>127</v>
      </c>
      <c r="B23" s="13" t="n">
        <v>1</v>
      </c>
      <c r="C23" s="6" t="inlineStr">
        <is>
          <t>財布</t>
        </is>
      </c>
      <c r="D23" s="6" t="inlineStr">
        <is>
          <t>(12388_0818)LOUIS VUITTON モノグラム LV モノグラム 財布 財布</t>
        </is>
      </c>
      <c r="E23" s="6" t="inlineStr">
        <is>
          <t>エコリング</t>
        </is>
      </c>
      <c r="F23" s="7" t="n">
        <v>46170</v>
      </c>
      <c r="G23" s="8" t="n">
        <v>7150</v>
      </c>
      <c r="H23" s="7" t="n">
        <v>46178</v>
      </c>
      <c r="I23" s="6" t="inlineStr">
        <is>
          <t>メルカリ</t>
        </is>
      </c>
      <c r="J23" s="8" t="n">
        <v>14800</v>
      </c>
      <c r="K23" s="7" t="n">
        <v>46179</v>
      </c>
      <c r="L23" s="9">
        <f>IF(K23="","",K23-H23)</f>
        <v/>
      </c>
      <c r="M23" s="8" t="n">
        <v>1480</v>
      </c>
      <c r="N23" s="8" t="n">
        <v>150</v>
      </c>
      <c r="O23" s="8">
        <f>IF(J23="","",J23-G23-M23-N23)</f>
        <v/>
      </c>
      <c r="P23" s="11">
        <f>IF(J23="","",O23/J23)</f>
        <v/>
      </c>
      <c r="Q23" s="6" t="inlineStr"/>
    </row>
    <row r="24">
      <c r="A24" s="2" t="n">
        <v>130</v>
      </c>
      <c r="B24" s="12" t="n">
        <v>1</v>
      </c>
      <c r="C24" s="2" t="inlineStr">
        <is>
          <t>財布</t>
        </is>
      </c>
      <c r="D24" s="2" t="inlineStr">
        <is>
          <t>ポルトフォイユサラテュイルリー</t>
        </is>
      </c>
      <c r="E24" s="2" t="inlineStr">
        <is>
          <t>オークネット</t>
        </is>
      </c>
      <c r="F24" s="3" t="n">
        <v>46181</v>
      </c>
      <c r="G24" s="4" t="n">
        <v>17490</v>
      </c>
      <c r="H24" s="3" t="n">
        <v>46189</v>
      </c>
      <c r="I24" s="2" t="inlineStr">
        <is>
          <t>メルカリ</t>
        </is>
      </c>
      <c r="J24" s="4" t="n">
        <v>25700</v>
      </c>
      <c r="K24" s="3" t="n">
        <v>46192</v>
      </c>
      <c r="L24" s="5">
        <f>IF(K24="","",K24-H24)</f>
        <v/>
      </c>
      <c r="M24" s="4" t="n">
        <v>2570</v>
      </c>
      <c r="N24" s="4" t="n">
        <v>210</v>
      </c>
      <c r="O24" s="4">
        <f>IF(J24="","",J24-G24-M24-N24)</f>
        <v/>
      </c>
      <c r="P24" s="10">
        <f>IF(J24="","",O24/J24)</f>
        <v/>
      </c>
      <c r="Q24" s="2" t="inlineStr"/>
    </row>
    <row r="25">
      <c r="A25" s="6" t="n"/>
      <c r="B25" s="6" t="n"/>
      <c r="C25" s="6" t="n"/>
      <c r="D25" s="6" t="n"/>
      <c r="E25" s="6" t="n"/>
      <c r="F25" s="7" t="n"/>
      <c r="G25" s="8" t="n"/>
      <c r="H25" s="7" t="n"/>
      <c r="I25" s="6" t="n"/>
      <c r="J25" s="8" t="n"/>
      <c r="K25" s="7" t="n"/>
      <c r="L25" s="9">
        <f>IF(K25="","",K25-H25)</f>
        <v/>
      </c>
      <c r="M25" s="8" t="n"/>
      <c r="N25" s="8" t="n"/>
      <c r="O25" s="8">
        <f>IF(J25="","",J25-G25-M25-N25)</f>
        <v/>
      </c>
      <c r="P25" s="11">
        <f>IF(J25="","",O25/J25)</f>
        <v/>
      </c>
      <c r="Q25" s="6" t="n"/>
    </row>
    <row r="26">
      <c r="A26" s="2" t="n"/>
      <c r="B26" s="2" t="n"/>
      <c r="C26" s="2" t="n"/>
      <c r="D26" s="2" t="n"/>
      <c r="E26" s="2" t="n"/>
      <c r="F26" s="3" t="n"/>
      <c r="G26" s="4" t="n"/>
      <c r="H26" s="3" t="n"/>
      <c r="I26" s="2" t="n"/>
      <c r="J26" s="4" t="n"/>
      <c r="K26" s="3" t="n"/>
      <c r="L26" s="5">
        <f>IF(K26="","",K26-H26)</f>
        <v/>
      </c>
      <c r="M26" s="4" t="n"/>
      <c r="N26" s="4" t="n"/>
      <c r="O26" s="4">
        <f>IF(J26="","",J26-G26-M26-N26)</f>
        <v/>
      </c>
      <c r="P26" s="10">
        <f>IF(J26="","",O26/J26)</f>
        <v/>
      </c>
      <c r="Q26" s="2" t="n"/>
    </row>
    <row r="27">
      <c r="A27" s="6" t="n"/>
      <c r="B27" s="6" t="n"/>
      <c r="C27" s="6" t="n"/>
      <c r="D27" s="6" t="n"/>
      <c r="E27" s="6" t="n"/>
      <c r="F27" s="7" t="n"/>
      <c r="G27" s="8" t="n"/>
      <c r="H27" s="7" t="n"/>
      <c r="I27" s="6" t="n"/>
      <c r="J27" s="8" t="n"/>
      <c r="K27" s="7" t="n"/>
      <c r="L27" s="9">
        <f>IF(K27="","",K27-H27)</f>
        <v/>
      </c>
      <c r="M27" s="8" t="n"/>
      <c r="N27" s="8" t="n"/>
      <c r="O27" s="8">
        <f>IF(J27="","",J27-G27-M27-N27)</f>
        <v/>
      </c>
      <c r="P27" s="11">
        <f>IF(J27="","",O27/J27)</f>
        <v/>
      </c>
      <c r="Q27" s="6" t="n"/>
    </row>
    <row r="28">
      <c r="A28" s="2" t="n"/>
      <c r="B28" s="2" t="n"/>
      <c r="C28" s="2" t="n"/>
      <c r="D28" s="2" t="n"/>
      <c r="E28" s="2" t="n"/>
      <c r="F28" s="3" t="n"/>
      <c r="G28" s="4" t="n"/>
      <c r="H28" s="3" t="n"/>
      <c r="I28" s="2" t="n"/>
      <c r="J28" s="4" t="n"/>
      <c r="K28" s="3" t="n"/>
      <c r="L28" s="5">
        <f>IF(K28="","",K28-H28)</f>
        <v/>
      </c>
      <c r="M28" s="4" t="n"/>
      <c r="N28" s="4" t="n"/>
      <c r="O28" s="4">
        <f>IF(J28="","",J28-G28-M28-N28)</f>
        <v/>
      </c>
      <c r="P28" s="10">
        <f>IF(J28="","",O28/J28)</f>
        <v/>
      </c>
      <c r="Q28" s="2" t="n"/>
    </row>
    <row r="29">
      <c r="A29" s="6" t="n"/>
      <c r="B29" s="6" t="n"/>
      <c r="C29" s="6" t="n"/>
      <c r="D29" s="6" t="n"/>
      <c r="E29" s="6" t="n"/>
      <c r="F29" s="7" t="n"/>
      <c r="G29" s="8" t="n"/>
      <c r="H29" s="7" t="n"/>
      <c r="I29" s="6" t="n"/>
      <c r="J29" s="8" t="n"/>
      <c r="K29" s="7" t="n"/>
      <c r="L29" s="9">
        <f>IF(K29="","",K29-H29)</f>
        <v/>
      </c>
      <c r="M29" s="8" t="n"/>
      <c r="N29" s="8" t="n"/>
      <c r="O29" s="8">
        <f>IF(J29="","",J29-G29-M29-N29)</f>
        <v/>
      </c>
      <c r="P29" s="11">
        <f>IF(J29="","",O29/J29)</f>
        <v/>
      </c>
      <c r="Q29" s="6" t="n"/>
    </row>
    <row r="30">
      <c r="A30" s="2" t="n"/>
      <c r="B30" s="2" t="n"/>
      <c r="C30" s="2" t="n"/>
      <c r="D30" s="2" t="n"/>
      <c r="E30" s="2" t="n"/>
      <c r="F30" s="3" t="n"/>
      <c r="G30" s="4" t="n"/>
      <c r="H30" s="3" t="n"/>
      <c r="I30" s="2" t="n"/>
      <c r="J30" s="4" t="n"/>
      <c r="K30" s="3" t="n"/>
      <c r="L30" s="5">
        <f>IF(K30="","",K30-H30)</f>
        <v/>
      </c>
      <c r="M30" s="4" t="n"/>
      <c r="N30" s="4" t="n"/>
      <c r="O30" s="4">
        <f>IF(J30="","",J30-G30-M30-N30)</f>
        <v/>
      </c>
      <c r="P30" s="10">
        <f>IF(J30="","",O30/J30)</f>
        <v/>
      </c>
      <c r="Q30" s="2" t="n"/>
    </row>
    <row r="31">
      <c r="A31" s="6" t="n"/>
      <c r="B31" s="6" t="n"/>
      <c r="C31" s="6" t="n"/>
      <c r="D31" s="6" t="n"/>
      <c r="E31" s="6" t="n"/>
      <c r="F31" s="7" t="n"/>
      <c r="G31" s="8" t="n"/>
      <c r="H31" s="7" t="n"/>
      <c r="I31" s="6" t="n"/>
      <c r="J31" s="8" t="n"/>
      <c r="K31" s="7" t="n"/>
      <c r="L31" s="9">
        <f>IF(K31="","",K31-H31)</f>
        <v/>
      </c>
      <c r="M31" s="8" t="n"/>
      <c r="N31" s="8" t="n"/>
      <c r="O31" s="8">
        <f>IF(J31="","",J31-G31-M31-N31)</f>
        <v/>
      </c>
      <c r="P31" s="11">
        <f>IF(J31="","",O31/J31)</f>
        <v/>
      </c>
      <c r="Q31" s="6" t="n"/>
    </row>
    <row r="32">
      <c r="A32" s="2" t="n"/>
      <c r="B32" s="2" t="n"/>
      <c r="C32" s="2" t="n"/>
      <c r="D32" s="2" t="n"/>
      <c r="E32" s="2" t="n"/>
      <c r="F32" s="3" t="n"/>
      <c r="G32" s="4" t="n"/>
      <c r="H32" s="3" t="n"/>
      <c r="I32" s="2" t="n"/>
      <c r="J32" s="4" t="n"/>
      <c r="K32" s="3" t="n"/>
      <c r="L32" s="5">
        <f>IF(K32="","",K32-H32)</f>
        <v/>
      </c>
      <c r="M32" s="4" t="n"/>
      <c r="N32" s="4" t="n"/>
      <c r="O32" s="4">
        <f>IF(J32="","",J32-G32-M32-N32)</f>
        <v/>
      </c>
      <c r="P32" s="10">
        <f>IF(J32="","",O32/J32)</f>
        <v/>
      </c>
      <c r="Q32" s="2" t="n"/>
    </row>
    <row r="33">
      <c r="A33" s="6" t="n"/>
      <c r="B33" s="6" t="n"/>
      <c r="C33" s="6" t="n"/>
      <c r="D33" s="6" t="n"/>
      <c r="E33" s="6" t="n"/>
      <c r="F33" s="7" t="n"/>
      <c r="G33" s="8" t="n"/>
      <c r="H33" s="7" t="n"/>
      <c r="I33" s="6" t="n"/>
      <c r="J33" s="8" t="n"/>
      <c r="K33" s="7" t="n"/>
      <c r="L33" s="9">
        <f>IF(K33="","",K33-H33)</f>
        <v/>
      </c>
      <c r="M33" s="8" t="n"/>
      <c r="N33" s="8" t="n"/>
      <c r="O33" s="8">
        <f>IF(J33="","",J33-G33-M33-N33)</f>
        <v/>
      </c>
      <c r="P33" s="11">
        <f>IF(J33="","",O33/J33)</f>
        <v/>
      </c>
      <c r="Q33" s="6" t="n"/>
    </row>
    <row r="34">
      <c r="A34" s="2" t="n"/>
      <c r="B34" s="2" t="n"/>
      <c r="C34" s="2" t="n"/>
      <c r="D34" s="2" t="n"/>
      <c r="E34" s="2" t="n"/>
      <c r="F34" s="3" t="n"/>
      <c r="G34" s="4" t="n"/>
      <c r="H34" s="3" t="n"/>
      <c r="I34" s="2" t="n"/>
      <c r="J34" s="4" t="n"/>
      <c r="K34" s="3" t="n"/>
      <c r="L34" s="5">
        <f>IF(K34="","",K34-H34)</f>
        <v/>
      </c>
      <c r="M34" s="4" t="n"/>
      <c r="N34" s="4" t="n"/>
      <c r="O34" s="4">
        <f>IF(J34="","",J34-G34-M34-N34)</f>
        <v/>
      </c>
      <c r="P34" s="10">
        <f>IF(J34="","",O34/J34)</f>
        <v/>
      </c>
      <c r="Q34" s="2" t="n"/>
    </row>
    <row r="35">
      <c r="A35" s="6" t="n"/>
      <c r="B35" s="6" t="n"/>
      <c r="C35" s="6" t="n"/>
      <c r="D35" s="6" t="n"/>
      <c r="E35" s="6" t="n"/>
      <c r="F35" s="7" t="n"/>
      <c r="G35" s="8" t="n"/>
      <c r="H35" s="7" t="n"/>
      <c r="I35" s="6" t="n"/>
      <c r="J35" s="8" t="n"/>
      <c r="K35" s="7" t="n"/>
      <c r="L35" s="9">
        <f>IF(K35="","",K35-H35)</f>
        <v/>
      </c>
      <c r="M35" s="8" t="n"/>
      <c r="N35" s="8" t="n"/>
      <c r="O35" s="8">
        <f>IF(J35="","",J35-G35-M35-N35)</f>
        <v/>
      </c>
      <c r="P35" s="11">
        <f>IF(J35="","",O35/J35)</f>
        <v/>
      </c>
      <c r="Q35" s="6" t="n"/>
    </row>
    <row r="36">
      <c r="A36" s="2" t="n"/>
      <c r="B36" s="2" t="n"/>
      <c r="C36" s="2" t="n"/>
      <c r="D36" s="2" t="n"/>
      <c r="E36" s="2" t="n"/>
      <c r="F36" s="3" t="n"/>
      <c r="G36" s="4" t="n"/>
      <c r="H36" s="3" t="n"/>
      <c r="I36" s="2" t="n"/>
      <c r="J36" s="4" t="n"/>
      <c r="K36" s="3" t="n"/>
      <c r="L36" s="5">
        <f>IF(K36="","",K36-H36)</f>
        <v/>
      </c>
      <c r="M36" s="4" t="n"/>
      <c r="N36" s="4" t="n"/>
      <c r="O36" s="4">
        <f>IF(J36="","",J36-G36-M36-N36)</f>
        <v/>
      </c>
      <c r="P36" s="10">
        <f>IF(J36="","",O36/J36)</f>
        <v/>
      </c>
      <c r="Q36" s="2" t="n"/>
    </row>
    <row r="37">
      <c r="A37" s="6" t="n"/>
      <c r="B37" s="6" t="n"/>
      <c r="C37" s="6" t="n"/>
      <c r="D37" s="6" t="n"/>
      <c r="E37" s="6" t="n"/>
      <c r="F37" s="7" t="n"/>
      <c r="G37" s="8" t="n"/>
      <c r="H37" s="7" t="n"/>
      <c r="I37" s="6" t="n"/>
      <c r="J37" s="8" t="n"/>
      <c r="K37" s="7" t="n"/>
      <c r="L37" s="9">
        <f>IF(K37="","",K37-H37)</f>
        <v/>
      </c>
      <c r="M37" s="8" t="n"/>
      <c r="N37" s="8" t="n"/>
      <c r="O37" s="8">
        <f>IF(J37="","",J37-G37-M37-N37)</f>
        <v/>
      </c>
      <c r="P37" s="11">
        <f>IF(J37="","",O37/J37)</f>
        <v/>
      </c>
      <c r="Q37" s="6" t="n"/>
    </row>
    <row r="38">
      <c r="A38" s="2" t="n"/>
      <c r="B38" s="2" t="n"/>
      <c r="C38" s="2" t="n"/>
      <c r="D38" s="2" t="n"/>
      <c r="E38" s="2" t="n"/>
      <c r="F38" s="3" t="n"/>
      <c r="G38" s="4" t="n"/>
      <c r="H38" s="3" t="n"/>
      <c r="I38" s="2" t="n"/>
      <c r="J38" s="4" t="n"/>
      <c r="K38" s="3" t="n"/>
      <c r="L38" s="5">
        <f>IF(K38="","",K38-H38)</f>
        <v/>
      </c>
      <c r="M38" s="4" t="n"/>
      <c r="N38" s="4" t="n"/>
      <c r="O38" s="4">
        <f>IF(J38="","",J38-G38-M38-N38)</f>
        <v/>
      </c>
      <c r="P38" s="10">
        <f>IF(J38="","",O38/J38)</f>
        <v/>
      </c>
      <c r="Q38" s="2" t="n"/>
    </row>
    <row r="39">
      <c r="A39" s="6" t="n"/>
      <c r="B39" s="6" t="n"/>
      <c r="C39" s="6" t="n"/>
      <c r="D39" s="6" t="n"/>
      <c r="E39" s="6" t="n"/>
      <c r="F39" s="7" t="n"/>
      <c r="G39" s="8" t="n"/>
      <c r="H39" s="7" t="n"/>
      <c r="I39" s="6" t="n"/>
      <c r="J39" s="8" t="n"/>
      <c r="K39" s="7" t="n"/>
      <c r="L39" s="9">
        <f>IF(K39="","",K39-H39)</f>
        <v/>
      </c>
      <c r="M39" s="8" t="n"/>
      <c r="N39" s="8" t="n"/>
      <c r="O39" s="8">
        <f>IF(J39="","",J39-G39-M39-N39)</f>
        <v/>
      </c>
      <c r="P39" s="11">
        <f>IF(J39="","",O39/J39)</f>
        <v/>
      </c>
      <c r="Q39" s="6" t="n"/>
    </row>
    <row r="40">
      <c r="A40" s="2" t="n"/>
      <c r="B40" s="2" t="n"/>
      <c r="C40" s="2" t="n"/>
      <c r="D40" s="2" t="n"/>
      <c r="E40" s="2" t="n"/>
      <c r="F40" s="3" t="n"/>
      <c r="G40" s="4" t="n"/>
      <c r="H40" s="3" t="n"/>
      <c r="I40" s="2" t="n"/>
      <c r="J40" s="4" t="n"/>
      <c r="K40" s="3" t="n"/>
      <c r="L40" s="5">
        <f>IF(K40="","",K40-H40)</f>
        <v/>
      </c>
      <c r="M40" s="4" t="n"/>
      <c r="N40" s="4" t="n"/>
      <c r="O40" s="4">
        <f>IF(J40="","",J40-G40-M40-N40)</f>
        <v/>
      </c>
      <c r="P40" s="10">
        <f>IF(J40="","",O40/J40)</f>
        <v/>
      </c>
      <c r="Q40" s="2" t="n"/>
    </row>
    <row r="41">
      <c r="A41" s="6" t="n"/>
      <c r="B41" s="6" t="n"/>
      <c r="C41" s="6" t="n"/>
      <c r="D41" s="6" t="n"/>
      <c r="E41" s="6" t="n"/>
      <c r="F41" s="7" t="n"/>
      <c r="G41" s="8" t="n"/>
      <c r="H41" s="7" t="n"/>
      <c r="I41" s="6" t="n"/>
      <c r="J41" s="8" t="n"/>
      <c r="K41" s="7" t="n"/>
      <c r="L41" s="9">
        <f>IF(K41="","",K41-H41)</f>
        <v/>
      </c>
      <c r="M41" s="8" t="n"/>
      <c r="N41" s="8" t="n"/>
      <c r="O41" s="8">
        <f>IF(J41="","",J41-G41-M41-N41)</f>
        <v/>
      </c>
      <c r="P41" s="11">
        <f>IF(J41="","",O41/J41)</f>
        <v/>
      </c>
      <c r="Q41" s="6" t="n"/>
    </row>
    <row r="42">
      <c r="A42" s="2" t="n"/>
      <c r="B42" s="2" t="n"/>
      <c r="C42" s="2" t="n"/>
      <c r="D42" s="2" t="n"/>
      <c r="E42" s="2" t="n"/>
      <c r="F42" s="3" t="n"/>
      <c r="G42" s="4" t="n"/>
      <c r="H42" s="3" t="n"/>
      <c r="I42" s="2" t="n"/>
      <c r="J42" s="4" t="n"/>
      <c r="K42" s="3" t="n"/>
      <c r="L42" s="5">
        <f>IF(K42="","",K42-H42)</f>
        <v/>
      </c>
      <c r="M42" s="4" t="n"/>
      <c r="N42" s="4" t="n"/>
      <c r="O42" s="4">
        <f>IF(J42="","",J42-G42-M42-N42)</f>
        <v/>
      </c>
      <c r="P42" s="10">
        <f>IF(J42="","",O42/J42)</f>
        <v/>
      </c>
      <c r="Q42" s="2" t="n"/>
    </row>
    <row r="43">
      <c r="A43" s="6" t="n"/>
      <c r="B43" s="6" t="n"/>
      <c r="C43" s="6" t="n"/>
      <c r="D43" s="6" t="n"/>
      <c r="E43" s="6" t="n"/>
      <c r="F43" s="7" t="n"/>
      <c r="G43" s="8" t="n"/>
      <c r="H43" s="7" t="n"/>
      <c r="I43" s="6" t="n"/>
      <c r="J43" s="8" t="n"/>
      <c r="K43" s="7" t="n"/>
      <c r="L43" s="9">
        <f>IF(K43="","",K43-H43)</f>
        <v/>
      </c>
      <c r="M43" s="8" t="n"/>
      <c r="N43" s="8" t="n"/>
      <c r="O43" s="8">
        <f>IF(J43="","",J43-G43-M43-N43)</f>
        <v/>
      </c>
      <c r="P43" s="11">
        <f>IF(J43="","",O43/J43)</f>
        <v/>
      </c>
      <c r="Q43" s="6" t="n"/>
    </row>
    <row r="44">
      <c r="A44" s="2" t="n"/>
      <c r="B44" s="2" t="n"/>
      <c r="C44" s="2" t="n"/>
      <c r="D44" s="2" t="n"/>
      <c r="E44" s="2" t="n"/>
      <c r="F44" s="3" t="n"/>
      <c r="G44" s="4" t="n"/>
      <c r="H44" s="3" t="n"/>
      <c r="I44" s="2" t="n"/>
      <c r="J44" s="4" t="n"/>
      <c r="K44" s="3" t="n"/>
      <c r="L44" s="5">
        <f>IF(K44="","",K44-H44)</f>
        <v/>
      </c>
      <c r="M44" s="4" t="n"/>
      <c r="N44" s="4" t="n"/>
      <c r="O44" s="4">
        <f>IF(J44="","",J44-G44-M44-N44)</f>
        <v/>
      </c>
      <c r="P44" s="10">
        <f>IF(J44="","",O44/J44)</f>
        <v/>
      </c>
      <c r="Q44" s="2" t="n"/>
    </row>
    <row r="45">
      <c r="A45" s="6" t="n"/>
      <c r="B45" s="6" t="n"/>
      <c r="C45" s="6" t="n"/>
      <c r="D45" s="6" t="n"/>
      <c r="E45" s="6" t="n"/>
      <c r="F45" s="7" t="n"/>
      <c r="G45" s="8" t="n"/>
      <c r="H45" s="7" t="n"/>
      <c r="I45" s="6" t="n"/>
      <c r="J45" s="8" t="n"/>
      <c r="K45" s="7" t="n"/>
      <c r="L45" s="9">
        <f>IF(K45="","",K45-H45)</f>
        <v/>
      </c>
      <c r="M45" s="8" t="n"/>
      <c r="N45" s="8" t="n"/>
      <c r="O45" s="8">
        <f>IF(J45="","",J45-G45-M45-N45)</f>
        <v/>
      </c>
      <c r="P45" s="11">
        <f>IF(J45="","",O45/J45)</f>
        <v/>
      </c>
      <c r="Q45" s="6" t="n"/>
    </row>
    <row r="46">
      <c r="A46" s="2" t="n"/>
      <c r="B46" s="2" t="n"/>
      <c r="C46" s="2" t="n"/>
      <c r="D46" s="2" t="n"/>
      <c r="E46" s="2" t="n"/>
      <c r="F46" s="3" t="n"/>
      <c r="G46" s="4" t="n"/>
      <c r="H46" s="3" t="n"/>
      <c r="I46" s="2" t="n"/>
      <c r="J46" s="4" t="n"/>
      <c r="K46" s="3" t="n"/>
      <c r="L46" s="5">
        <f>IF(K46="","",K46-H46)</f>
        <v/>
      </c>
      <c r="M46" s="4" t="n"/>
      <c r="N46" s="4" t="n"/>
      <c r="O46" s="4">
        <f>IF(J46="","",J46-G46-M46-N46)</f>
        <v/>
      </c>
      <c r="P46" s="10">
        <f>IF(J46="","",O46/J46)</f>
        <v/>
      </c>
      <c r="Q46" s="2" t="n"/>
    </row>
    <row r="47">
      <c r="A47" s="6" t="n"/>
      <c r="B47" s="6" t="n"/>
      <c r="C47" s="6" t="n"/>
      <c r="D47" s="6" t="n"/>
      <c r="E47" s="6" t="n"/>
      <c r="F47" s="7" t="n"/>
      <c r="G47" s="8" t="n"/>
      <c r="H47" s="7" t="n"/>
      <c r="I47" s="6" t="n"/>
      <c r="J47" s="8" t="n"/>
      <c r="K47" s="7" t="n"/>
      <c r="L47" s="9">
        <f>IF(K47="","",K47-H47)</f>
        <v/>
      </c>
      <c r="M47" s="8" t="n"/>
      <c r="N47" s="8" t="n"/>
      <c r="O47" s="8">
        <f>IF(J47="","",J47-G47-M47-N47)</f>
        <v/>
      </c>
      <c r="P47" s="11">
        <f>IF(J47="","",O47/J47)</f>
        <v/>
      </c>
      <c r="Q47" s="6" t="n"/>
    </row>
    <row r="48">
      <c r="A48" s="2" t="n"/>
      <c r="B48" s="2" t="n"/>
      <c r="C48" s="2" t="n"/>
      <c r="D48" s="2" t="n"/>
      <c r="E48" s="2" t="n"/>
      <c r="F48" s="3" t="n"/>
      <c r="G48" s="4" t="n"/>
      <c r="H48" s="3" t="n"/>
      <c r="I48" s="2" t="n"/>
      <c r="J48" s="4" t="n"/>
      <c r="K48" s="3" t="n"/>
      <c r="L48" s="5">
        <f>IF(K48="","",K48-H48)</f>
        <v/>
      </c>
      <c r="M48" s="4" t="n"/>
      <c r="N48" s="4" t="n"/>
      <c r="O48" s="4">
        <f>IF(J48="","",J48-G48-M48-N48)</f>
        <v/>
      </c>
      <c r="P48" s="10">
        <f>IF(J48="","",O48/J48)</f>
        <v/>
      </c>
      <c r="Q48" s="2" t="n"/>
    </row>
    <row r="49">
      <c r="A49" s="6" t="n"/>
      <c r="B49" s="6" t="n"/>
      <c r="C49" s="6" t="n"/>
      <c r="D49" s="6" t="n"/>
      <c r="E49" s="6" t="n"/>
      <c r="F49" s="7" t="n"/>
      <c r="G49" s="8" t="n"/>
      <c r="H49" s="7" t="n"/>
      <c r="I49" s="6" t="n"/>
      <c r="J49" s="8" t="n"/>
      <c r="K49" s="7" t="n"/>
      <c r="L49" s="9">
        <f>IF(K49="","",K49-H49)</f>
        <v/>
      </c>
      <c r="M49" s="8" t="n"/>
      <c r="N49" s="8" t="n"/>
      <c r="O49" s="8">
        <f>IF(J49="","",J49-G49-M49-N49)</f>
        <v/>
      </c>
      <c r="P49" s="11">
        <f>IF(J49="","",O49/J49)</f>
        <v/>
      </c>
      <c r="Q49" s="6" t="n"/>
    </row>
    <row r="50">
      <c r="A50" s="2" t="n"/>
      <c r="B50" s="2" t="n"/>
      <c r="C50" s="2" t="n"/>
      <c r="D50" s="2" t="n"/>
      <c r="E50" s="2" t="n"/>
      <c r="F50" s="3" t="n"/>
      <c r="G50" s="4" t="n"/>
      <c r="H50" s="3" t="n"/>
      <c r="I50" s="2" t="n"/>
      <c r="J50" s="4" t="n"/>
      <c r="K50" s="3" t="n"/>
      <c r="L50" s="5">
        <f>IF(K50="","",K50-H50)</f>
        <v/>
      </c>
      <c r="M50" s="4" t="n"/>
      <c r="N50" s="4" t="n"/>
      <c r="O50" s="4">
        <f>IF(J50="","",J50-G50-M50-N50)</f>
        <v/>
      </c>
      <c r="P50" s="10">
        <f>IF(J50="","",O50/J50)</f>
        <v/>
      </c>
      <c r="Q50" s="2" t="n"/>
    </row>
    <row r="51">
      <c r="A51" s="6" t="n"/>
      <c r="B51" s="6" t="n"/>
      <c r="C51" s="6" t="n"/>
      <c r="D51" s="6" t="n"/>
      <c r="E51" s="6" t="n"/>
      <c r="F51" s="7" t="n"/>
      <c r="G51" s="8" t="n"/>
      <c r="H51" s="7" t="n"/>
      <c r="I51" s="6" t="n"/>
      <c r="J51" s="8" t="n"/>
      <c r="K51" s="7" t="n"/>
      <c r="L51" s="9">
        <f>IF(K51="","",K51-H51)</f>
        <v/>
      </c>
      <c r="M51" s="8" t="n"/>
      <c r="N51" s="8" t="n"/>
      <c r="O51" s="8">
        <f>IF(J51="","",J51-G51-M51-N51)</f>
        <v/>
      </c>
      <c r="P51" s="11">
        <f>IF(J51="","",O51/J51)</f>
        <v/>
      </c>
      <c r="Q51" s="6" t="n"/>
    </row>
    <row r="52">
      <c r="A52" s="2" t="n"/>
      <c r="B52" s="2" t="n"/>
      <c r="C52" s="2" t="n"/>
      <c r="D52" s="2" t="n"/>
      <c r="E52" s="2" t="n"/>
      <c r="F52" s="3" t="n"/>
      <c r="G52" s="4" t="n"/>
      <c r="H52" s="3" t="n"/>
      <c r="I52" s="2" t="n"/>
      <c r="J52" s="4" t="n"/>
      <c r="K52" s="3" t="n"/>
      <c r="L52" s="5">
        <f>IF(K52="","",K52-H52)</f>
        <v/>
      </c>
      <c r="M52" s="4" t="n"/>
      <c r="N52" s="4" t="n"/>
      <c r="O52" s="4">
        <f>IF(J52="","",J52-G52-M52-N52)</f>
        <v/>
      </c>
      <c r="P52" s="10">
        <f>IF(J52="","",O52/J52)</f>
        <v/>
      </c>
      <c r="Q52" s="2" t="n"/>
    </row>
    <row r="53">
      <c r="A53" s="6" t="n"/>
      <c r="B53" s="6" t="n"/>
      <c r="C53" s="6" t="n"/>
      <c r="D53" s="6" t="n"/>
      <c r="E53" s="6" t="n"/>
      <c r="F53" s="7" t="n"/>
      <c r="G53" s="8" t="n"/>
      <c r="H53" s="7" t="n"/>
      <c r="I53" s="6" t="n"/>
      <c r="J53" s="8" t="n"/>
      <c r="K53" s="7" t="n"/>
      <c r="L53" s="9">
        <f>IF(K53="","",K53-H53)</f>
        <v/>
      </c>
      <c r="M53" s="8" t="n"/>
      <c r="N53" s="8" t="n"/>
      <c r="O53" s="8">
        <f>IF(J53="","",J53-G53-M53-N53)</f>
        <v/>
      </c>
      <c r="P53" s="11">
        <f>IF(J53="","",O53/J53)</f>
        <v/>
      </c>
      <c r="Q53" s="6" t="n"/>
    </row>
    <row r="54">
      <c r="A54" s="2" t="n"/>
      <c r="B54" s="2" t="n"/>
      <c r="C54" s="2" t="n"/>
      <c r="D54" s="2" t="n"/>
      <c r="E54" s="2" t="n"/>
      <c r="F54" s="3" t="n"/>
      <c r="G54" s="4" t="n"/>
      <c r="H54" s="3" t="n"/>
      <c r="I54" s="2" t="n"/>
      <c r="J54" s="4" t="n"/>
      <c r="K54" s="3" t="n"/>
      <c r="L54" s="5">
        <f>IF(K54="","",K54-H54)</f>
        <v/>
      </c>
      <c r="M54" s="4" t="n"/>
      <c r="N54" s="4" t="n"/>
      <c r="O54" s="4">
        <f>IF(J54="","",J54-G54-M54-N54)</f>
        <v/>
      </c>
      <c r="P54" s="10">
        <f>IF(J54="","",O54/J54)</f>
        <v/>
      </c>
      <c r="Q54" s="2" t="n"/>
    </row>
    <row r="55">
      <c r="A55" s="6" t="n"/>
      <c r="B55" s="6" t="n"/>
      <c r="C55" s="6" t="n"/>
      <c r="D55" s="6" t="n"/>
      <c r="E55" s="6" t="n"/>
      <c r="F55" s="7" t="n"/>
      <c r="G55" s="8" t="n"/>
      <c r="H55" s="7" t="n"/>
      <c r="I55" s="6" t="n"/>
      <c r="J55" s="8" t="n"/>
      <c r="K55" s="7" t="n"/>
      <c r="L55" s="9">
        <f>IF(K55="","",K55-H55)</f>
        <v/>
      </c>
      <c r="M55" s="8" t="n"/>
      <c r="N55" s="8" t="n"/>
      <c r="O55" s="8">
        <f>IF(J55="","",J55-G55-M55-N55)</f>
        <v/>
      </c>
      <c r="P55" s="11">
        <f>IF(J55="","",O55/J55)</f>
        <v/>
      </c>
      <c r="Q55" s="6" t="n"/>
    </row>
    <row r="56">
      <c r="A56" s="2" t="n"/>
      <c r="B56" s="2" t="n"/>
      <c r="C56" s="2" t="n"/>
      <c r="D56" s="2" t="n"/>
      <c r="E56" s="2" t="n"/>
      <c r="F56" s="3" t="n"/>
      <c r="G56" s="4" t="n"/>
      <c r="H56" s="3" t="n"/>
      <c r="I56" s="2" t="n"/>
      <c r="J56" s="4" t="n"/>
      <c r="K56" s="3" t="n"/>
      <c r="L56" s="5">
        <f>IF(K56="","",K56-H56)</f>
        <v/>
      </c>
      <c r="M56" s="4" t="n"/>
      <c r="N56" s="4" t="n"/>
      <c r="O56" s="4">
        <f>IF(J56="","",J56-G56-M56-N56)</f>
        <v/>
      </c>
      <c r="P56" s="10">
        <f>IF(J56="","",O56/J56)</f>
        <v/>
      </c>
      <c r="Q56" s="2" t="n"/>
    </row>
    <row r="57">
      <c r="A57" s="6" t="n"/>
      <c r="B57" s="6" t="n"/>
      <c r="C57" s="6" t="n"/>
      <c r="D57" s="6" t="n"/>
      <c r="E57" s="6" t="n"/>
      <c r="F57" s="7" t="n"/>
      <c r="G57" s="8" t="n"/>
      <c r="H57" s="7" t="n"/>
      <c r="I57" s="6" t="n"/>
      <c r="J57" s="8" t="n"/>
      <c r="K57" s="7" t="n"/>
      <c r="L57" s="9">
        <f>IF(K57="","",K57-H57)</f>
        <v/>
      </c>
      <c r="M57" s="8" t="n"/>
      <c r="N57" s="8" t="n"/>
      <c r="O57" s="8">
        <f>IF(J57="","",J57-G57-M57-N57)</f>
        <v/>
      </c>
      <c r="P57" s="11">
        <f>IF(J57="","",O57/J57)</f>
        <v/>
      </c>
      <c r="Q57" s="6" t="n"/>
    </row>
    <row r="58">
      <c r="A58" s="2" t="n"/>
      <c r="B58" s="2" t="n"/>
      <c r="C58" s="2" t="n"/>
      <c r="D58" s="2" t="n"/>
      <c r="E58" s="2" t="n"/>
      <c r="F58" s="3" t="n"/>
      <c r="G58" s="4" t="n"/>
      <c r="H58" s="3" t="n"/>
      <c r="I58" s="2" t="n"/>
      <c r="J58" s="4" t="n"/>
      <c r="K58" s="3" t="n"/>
      <c r="L58" s="5">
        <f>IF(K58="","",K58-H58)</f>
        <v/>
      </c>
      <c r="M58" s="4" t="n"/>
      <c r="N58" s="4" t="n"/>
      <c r="O58" s="4">
        <f>IF(J58="","",J58-G58-M58-N58)</f>
        <v/>
      </c>
      <c r="P58" s="10">
        <f>IF(J58="","",O58/J58)</f>
        <v/>
      </c>
      <c r="Q58" s="2" t="n"/>
    </row>
    <row r="59">
      <c r="A59" s="6" t="n"/>
      <c r="B59" s="6" t="n"/>
      <c r="C59" s="6" t="n"/>
      <c r="D59" s="6" t="n"/>
      <c r="E59" s="6" t="n"/>
      <c r="F59" s="7" t="n"/>
      <c r="G59" s="8" t="n"/>
      <c r="H59" s="7" t="n"/>
      <c r="I59" s="6" t="n"/>
      <c r="J59" s="8" t="n"/>
      <c r="K59" s="7" t="n"/>
      <c r="L59" s="9">
        <f>IF(K59="","",K59-H59)</f>
        <v/>
      </c>
      <c r="M59" s="8" t="n"/>
      <c r="N59" s="8" t="n"/>
      <c r="O59" s="8">
        <f>IF(J59="","",J59-G59-M59-N59)</f>
        <v/>
      </c>
      <c r="P59" s="11">
        <f>IF(J59="","",O59/J59)</f>
        <v/>
      </c>
      <c r="Q59" s="6" t="n"/>
    </row>
    <row r="60">
      <c r="A60" s="2" t="n"/>
      <c r="B60" s="2" t="n"/>
      <c r="C60" s="2" t="n"/>
      <c r="D60" s="2" t="n"/>
      <c r="E60" s="2" t="n"/>
      <c r="F60" s="3" t="n"/>
      <c r="G60" s="4" t="n"/>
      <c r="H60" s="3" t="n"/>
      <c r="I60" s="2" t="n"/>
      <c r="J60" s="4" t="n"/>
      <c r="K60" s="3" t="n"/>
      <c r="L60" s="5">
        <f>IF(K60="","",K60-H60)</f>
        <v/>
      </c>
      <c r="M60" s="4" t="n"/>
      <c r="N60" s="4" t="n"/>
      <c r="O60" s="4">
        <f>IF(J60="","",J60-G60-M60-N60)</f>
        <v/>
      </c>
      <c r="P60" s="10">
        <f>IF(J60="","",O60/J60)</f>
        <v/>
      </c>
      <c r="Q60" s="2" t="n"/>
    </row>
    <row r="61">
      <c r="A61" s="6" t="n"/>
      <c r="B61" s="6" t="n"/>
      <c r="C61" s="6" t="n"/>
      <c r="D61" s="6" t="n"/>
      <c r="E61" s="6" t="n"/>
      <c r="F61" s="7" t="n"/>
      <c r="G61" s="8" t="n"/>
      <c r="H61" s="7" t="n"/>
      <c r="I61" s="6" t="n"/>
      <c r="J61" s="8" t="n"/>
      <c r="K61" s="7" t="n"/>
      <c r="L61" s="9">
        <f>IF(K61="","",K61-H61)</f>
        <v/>
      </c>
      <c r="M61" s="8" t="n"/>
      <c r="N61" s="8" t="n"/>
      <c r="O61" s="8">
        <f>IF(J61="","",J61-G61-M61-N61)</f>
        <v/>
      </c>
      <c r="P61" s="11">
        <f>IF(J61="","",O61/J61)</f>
        <v/>
      </c>
      <c r="Q61" s="6" t="n"/>
    </row>
    <row r="62">
      <c r="A62" s="2" t="n"/>
      <c r="B62" s="2" t="n"/>
      <c r="C62" s="2" t="n"/>
      <c r="D62" s="2" t="n"/>
      <c r="E62" s="2" t="n"/>
      <c r="F62" s="3" t="n"/>
      <c r="G62" s="4" t="n"/>
      <c r="H62" s="3" t="n"/>
      <c r="I62" s="2" t="n"/>
      <c r="J62" s="4" t="n"/>
      <c r="K62" s="3" t="n"/>
      <c r="L62" s="5">
        <f>IF(K62="","",K62-H62)</f>
        <v/>
      </c>
      <c r="M62" s="4" t="n"/>
      <c r="N62" s="4" t="n"/>
      <c r="O62" s="4">
        <f>IF(J62="","",J62-G62-M62-N62)</f>
        <v/>
      </c>
      <c r="P62" s="10">
        <f>IF(J62="","",O62/J62)</f>
        <v/>
      </c>
      <c r="Q62" s="2" t="n"/>
    </row>
    <row r="63">
      <c r="A63" s="6" t="n"/>
      <c r="B63" s="6" t="n"/>
      <c r="C63" s="6" t="n"/>
      <c r="D63" s="6" t="n"/>
      <c r="E63" s="6" t="n"/>
      <c r="F63" s="7" t="n"/>
      <c r="G63" s="8" t="n"/>
      <c r="H63" s="7" t="n"/>
      <c r="I63" s="6" t="n"/>
      <c r="J63" s="8" t="n"/>
      <c r="K63" s="7" t="n"/>
      <c r="L63" s="9">
        <f>IF(K63="","",K63-H63)</f>
        <v/>
      </c>
      <c r="M63" s="8" t="n"/>
      <c r="N63" s="8" t="n"/>
      <c r="O63" s="8">
        <f>IF(J63="","",J63-G63-M63-N63)</f>
        <v/>
      </c>
      <c r="P63" s="11">
        <f>IF(J63="","",O63/J63)</f>
        <v/>
      </c>
      <c r="Q63" s="6" t="n"/>
    </row>
    <row r="64">
      <c r="A64" s="2" t="n"/>
      <c r="B64" s="2" t="n"/>
      <c r="C64" s="2" t="n"/>
      <c r="D64" s="2" t="n"/>
      <c r="E64" s="2" t="n"/>
      <c r="F64" s="3" t="n"/>
      <c r="G64" s="4" t="n"/>
      <c r="H64" s="3" t="n"/>
      <c r="I64" s="2" t="n"/>
      <c r="J64" s="4" t="n"/>
      <c r="K64" s="3" t="n"/>
      <c r="L64" s="5">
        <f>IF(K64="","",K64-H64)</f>
        <v/>
      </c>
      <c r="M64" s="4" t="n"/>
      <c r="N64" s="4" t="n"/>
      <c r="O64" s="4">
        <f>IF(J64="","",J64-G64-M64-N64)</f>
        <v/>
      </c>
      <c r="P64" s="10">
        <f>IF(J64="","",O64/J64)</f>
        <v/>
      </c>
      <c r="Q64" s="2" t="n"/>
    </row>
    <row r="65">
      <c r="A65" s="6" t="n"/>
      <c r="B65" s="6" t="n"/>
      <c r="C65" s="6" t="n"/>
      <c r="D65" s="6" t="n"/>
      <c r="E65" s="6" t="n"/>
      <c r="F65" s="7" t="n"/>
      <c r="G65" s="8" t="n"/>
      <c r="H65" s="7" t="n"/>
      <c r="I65" s="6" t="n"/>
      <c r="J65" s="8" t="n"/>
      <c r="K65" s="7" t="n"/>
      <c r="L65" s="9">
        <f>IF(K65="","",K65-H65)</f>
        <v/>
      </c>
      <c r="M65" s="8" t="n"/>
      <c r="N65" s="8" t="n"/>
      <c r="O65" s="8">
        <f>IF(J65="","",J65-G65-M65-N65)</f>
        <v/>
      </c>
      <c r="P65" s="11">
        <f>IF(J65="","",O65/J65)</f>
        <v/>
      </c>
      <c r="Q65" s="6" t="n"/>
    </row>
    <row r="66">
      <c r="A66" s="2" t="n"/>
      <c r="B66" s="2" t="n"/>
      <c r="C66" s="2" t="n"/>
      <c r="D66" s="2" t="n"/>
      <c r="E66" s="2" t="n"/>
      <c r="F66" s="3" t="n"/>
      <c r="G66" s="4" t="n"/>
      <c r="H66" s="3" t="n"/>
      <c r="I66" s="2" t="n"/>
      <c r="J66" s="4" t="n"/>
      <c r="K66" s="3" t="n"/>
      <c r="L66" s="5">
        <f>IF(K66="","",K66-H66)</f>
        <v/>
      </c>
      <c r="M66" s="4" t="n"/>
      <c r="N66" s="4" t="n"/>
      <c r="O66" s="4">
        <f>IF(J66="","",J66-G66-M66-N66)</f>
        <v/>
      </c>
      <c r="P66" s="10">
        <f>IF(J66="","",O66/J66)</f>
        <v/>
      </c>
      <c r="Q66" s="2" t="n"/>
    </row>
    <row r="67">
      <c r="A67" s="6" t="n"/>
      <c r="B67" s="6" t="n"/>
      <c r="C67" s="6" t="n"/>
      <c r="D67" s="6" t="n"/>
      <c r="E67" s="6" t="n"/>
      <c r="F67" s="7" t="n"/>
      <c r="G67" s="8" t="n"/>
      <c r="H67" s="7" t="n"/>
      <c r="I67" s="6" t="n"/>
      <c r="J67" s="8" t="n"/>
      <c r="K67" s="7" t="n"/>
      <c r="L67" s="9">
        <f>IF(K67="","",K67-H67)</f>
        <v/>
      </c>
      <c r="M67" s="8" t="n"/>
      <c r="N67" s="8" t="n"/>
      <c r="O67" s="8">
        <f>IF(J67="","",J67-G67-M67-N67)</f>
        <v/>
      </c>
      <c r="P67" s="11">
        <f>IF(J67="","",O67/J67)</f>
        <v/>
      </c>
      <c r="Q67" s="6" t="n"/>
    </row>
    <row r="68">
      <c r="A68" s="2" t="n"/>
      <c r="B68" s="2" t="n"/>
      <c r="C68" s="2" t="n"/>
      <c r="D68" s="2" t="n"/>
      <c r="E68" s="2" t="n"/>
      <c r="F68" s="3" t="n"/>
      <c r="G68" s="4" t="n"/>
      <c r="H68" s="3" t="n"/>
      <c r="I68" s="2" t="n"/>
      <c r="J68" s="4" t="n"/>
      <c r="K68" s="3" t="n"/>
      <c r="L68" s="5">
        <f>IF(K68="","",K68-H68)</f>
        <v/>
      </c>
      <c r="M68" s="4" t="n"/>
      <c r="N68" s="4" t="n"/>
      <c r="O68" s="4">
        <f>IF(J68="","",J68-G68-M68-N68)</f>
        <v/>
      </c>
      <c r="P68" s="10">
        <f>IF(J68="","",O68/J68)</f>
        <v/>
      </c>
      <c r="Q68" s="2" t="n"/>
    </row>
    <row r="69">
      <c r="A69" s="6" t="n"/>
      <c r="B69" s="6" t="n"/>
      <c r="C69" s="6" t="n"/>
      <c r="D69" s="6" t="n"/>
      <c r="E69" s="6" t="n"/>
      <c r="F69" s="7" t="n"/>
      <c r="G69" s="8" t="n"/>
      <c r="H69" s="7" t="n"/>
      <c r="I69" s="6" t="n"/>
      <c r="J69" s="8" t="n"/>
      <c r="K69" s="7" t="n"/>
      <c r="L69" s="9">
        <f>IF(K69="","",K69-H69)</f>
        <v/>
      </c>
      <c r="M69" s="8" t="n"/>
      <c r="N69" s="8" t="n"/>
      <c r="O69" s="8">
        <f>IF(J69="","",J69-G69-M69-N69)</f>
        <v/>
      </c>
      <c r="P69" s="11">
        <f>IF(J69="","",O69/J69)</f>
        <v/>
      </c>
      <c r="Q69" s="6" t="n"/>
    </row>
    <row r="70">
      <c r="A70" s="2" t="n"/>
      <c r="B70" s="2" t="n"/>
      <c r="C70" s="2" t="n"/>
      <c r="D70" s="2" t="n"/>
      <c r="E70" s="2" t="n"/>
      <c r="F70" s="3" t="n"/>
      <c r="G70" s="4" t="n"/>
      <c r="H70" s="3" t="n"/>
      <c r="I70" s="2" t="n"/>
      <c r="J70" s="4" t="n"/>
      <c r="K70" s="3" t="n"/>
      <c r="L70" s="5">
        <f>IF(K70="","",K70-H70)</f>
        <v/>
      </c>
      <c r="M70" s="4" t="n"/>
      <c r="N70" s="4" t="n"/>
      <c r="O70" s="4">
        <f>IF(J70="","",J70-G70-M70-N70)</f>
        <v/>
      </c>
      <c r="P70" s="10">
        <f>IF(J70="","",O70/J70)</f>
        <v/>
      </c>
      <c r="Q70" s="2" t="n"/>
    </row>
    <row r="71">
      <c r="A71" s="6" t="n"/>
      <c r="B71" s="6" t="n"/>
      <c r="C71" s="6" t="n"/>
      <c r="D71" s="6" t="n"/>
      <c r="E71" s="6" t="n"/>
      <c r="F71" s="7" t="n"/>
      <c r="G71" s="8" t="n"/>
      <c r="H71" s="7" t="n"/>
      <c r="I71" s="6" t="n"/>
      <c r="J71" s="8" t="n"/>
      <c r="K71" s="7" t="n"/>
      <c r="L71" s="9">
        <f>IF(K71="","",K71-H71)</f>
        <v/>
      </c>
      <c r="M71" s="8" t="n"/>
      <c r="N71" s="8" t="n"/>
      <c r="O71" s="8">
        <f>IF(J71="","",J71-G71-M71-N71)</f>
        <v/>
      </c>
      <c r="P71" s="11">
        <f>IF(J71="","",O71/J71)</f>
        <v/>
      </c>
      <c r="Q71" s="6" t="n"/>
    </row>
    <row r="72">
      <c r="A72" s="2" t="n"/>
      <c r="B72" s="2" t="n"/>
      <c r="C72" s="2" t="n"/>
      <c r="D72" s="2" t="n"/>
      <c r="E72" s="2" t="n"/>
      <c r="F72" s="3" t="n"/>
      <c r="G72" s="4" t="n"/>
      <c r="H72" s="3" t="n"/>
      <c r="I72" s="2" t="n"/>
      <c r="J72" s="4" t="n"/>
      <c r="K72" s="3" t="n"/>
      <c r="L72" s="5">
        <f>IF(K72="","",K72-H72)</f>
        <v/>
      </c>
      <c r="M72" s="4" t="n"/>
      <c r="N72" s="4" t="n"/>
      <c r="O72" s="4">
        <f>IF(J72="","",J72-G72-M72-N72)</f>
        <v/>
      </c>
      <c r="P72" s="10">
        <f>IF(J72="","",O72/J72)</f>
        <v/>
      </c>
      <c r="Q72" s="2" t="n"/>
    </row>
    <row r="73">
      <c r="A73" s="6" t="n"/>
      <c r="B73" s="6" t="n"/>
      <c r="C73" s="6" t="n"/>
      <c r="D73" s="6" t="n"/>
      <c r="E73" s="6" t="n"/>
      <c r="F73" s="7" t="n"/>
      <c r="G73" s="8" t="n"/>
      <c r="H73" s="7" t="n"/>
      <c r="I73" s="6" t="n"/>
      <c r="J73" s="8" t="n"/>
      <c r="K73" s="7" t="n"/>
      <c r="L73" s="9">
        <f>IF(K73="","",K73-H73)</f>
        <v/>
      </c>
      <c r="M73" s="8" t="n"/>
      <c r="N73" s="8" t="n"/>
      <c r="O73" s="8">
        <f>IF(J73="","",J73-G73-M73-N73)</f>
        <v/>
      </c>
      <c r="P73" s="11">
        <f>IF(J73="","",O73/J73)</f>
        <v/>
      </c>
      <c r="Q73" s="6" t="n"/>
    </row>
    <row r="74">
      <c r="A74" s="2" t="n"/>
      <c r="B74" s="2" t="n"/>
      <c r="C74" s="2" t="n"/>
      <c r="D74" s="2" t="n"/>
      <c r="E74" s="2" t="n"/>
      <c r="F74" s="3" t="n"/>
      <c r="G74" s="4" t="n"/>
      <c r="H74" s="3" t="n"/>
      <c r="I74" s="2" t="n"/>
      <c r="J74" s="4" t="n"/>
      <c r="K74" s="3" t="n"/>
      <c r="L74" s="5">
        <f>IF(K74="","",K74-H74)</f>
        <v/>
      </c>
      <c r="M74" s="4" t="n"/>
      <c r="N74" s="4" t="n"/>
      <c r="O74" s="4">
        <f>IF(J74="","",J74-G74-M74-N74)</f>
        <v/>
      </c>
      <c r="P74" s="10">
        <f>IF(J74="","",O74/J74)</f>
        <v/>
      </c>
      <c r="Q74" s="2" t="n"/>
    </row>
    <row r="75">
      <c r="A75" s="6" t="n"/>
      <c r="B75" s="6" t="n"/>
      <c r="C75" s="6" t="n"/>
      <c r="D75" s="6" t="n"/>
      <c r="E75" s="6" t="n"/>
      <c r="F75" s="7" t="n"/>
      <c r="G75" s="8" t="n"/>
      <c r="H75" s="7" t="n"/>
      <c r="I75" s="6" t="n"/>
      <c r="J75" s="8" t="n"/>
      <c r="K75" s="7" t="n"/>
      <c r="L75" s="9">
        <f>IF(K75="","",K75-H75)</f>
        <v/>
      </c>
      <c r="M75" s="8" t="n"/>
      <c r="N75" s="8" t="n"/>
      <c r="O75" s="8">
        <f>IF(J75="","",J75-G75-M75-N75)</f>
        <v/>
      </c>
      <c r="P75" s="11">
        <f>IF(J75="","",O75/J75)</f>
        <v/>
      </c>
      <c r="Q75" s="6" t="n"/>
    </row>
    <row r="76">
      <c r="A76" s="2" t="n"/>
      <c r="B76" s="2" t="n"/>
      <c r="C76" s="2" t="n"/>
      <c r="D76" s="2" t="n"/>
      <c r="E76" s="2" t="n"/>
      <c r="F76" s="3" t="n"/>
      <c r="G76" s="4" t="n"/>
      <c r="H76" s="3" t="n"/>
      <c r="I76" s="2" t="n"/>
      <c r="J76" s="4" t="n"/>
      <c r="K76" s="3" t="n"/>
      <c r="L76" s="5">
        <f>IF(K76="","",K76-H76)</f>
        <v/>
      </c>
      <c r="M76" s="4" t="n"/>
      <c r="N76" s="4" t="n"/>
      <c r="O76" s="4">
        <f>IF(J76="","",J76-G76-M76-N76)</f>
        <v/>
      </c>
      <c r="P76" s="10">
        <f>IF(J76="","",O76/J76)</f>
        <v/>
      </c>
      <c r="Q76" s="2" t="n"/>
    </row>
    <row r="77">
      <c r="A77" s="6" t="n"/>
      <c r="B77" s="6" t="n"/>
      <c r="C77" s="6" t="n"/>
      <c r="D77" s="6" t="n"/>
      <c r="E77" s="6" t="n"/>
      <c r="F77" s="7" t="n"/>
      <c r="G77" s="8" t="n"/>
      <c r="H77" s="7" t="n"/>
      <c r="I77" s="6" t="n"/>
      <c r="J77" s="8" t="n"/>
      <c r="K77" s="7" t="n"/>
      <c r="L77" s="9">
        <f>IF(K77="","",K77-H77)</f>
        <v/>
      </c>
      <c r="M77" s="8" t="n"/>
      <c r="N77" s="8" t="n"/>
      <c r="O77" s="8">
        <f>IF(J77="","",J77-G77-M77-N77)</f>
        <v/>
      </c>
      <c r="P77" s="11">
        <f>IF(J77="","",O77/J77)</f>
        <v/>
      </c>
      <c r="Q77" s="6" t="n"/>
    </row>
    <row r="78">
      <c r="A78" s="2" t="n"/>
      <c r="B78" s="2" t="n"/>
      <c r="C78" s="2" t="n"/>
      <c r="D78" s="2" t="n"/>
      <c r="E78" s="2" t="n"/>
      <c r="F78" s="3" t="n"/>
      <c r="G78" s="4" t="n"/>
      <c r="H78" s="3" t="n"/>
      <c r="I78" s="2" t="n"/>
      <c r="J78" s="4" t="n"/>
      <c r="K78" s="3" t="n"/>
      <c r="L78" s="5">
        <f>IF(K78="","",K78-H78)</f>
        <v/>
      </c>
      <c r="M78" s="4" t="n"/>
      <c r="N78" s="4" t="n"/>
      <c r="O78" s="4">
        <f>IF(J78="","",J78-G78-M78-N78)</f>
        <v/>
      </c>
      <c r="P78" s="10">
        <f>IF(J78="","",O78/J78)</f>
        <v/>
      </c>
      <c r="Q78" s="2" t="n"/>
    </row>
    <row r="79">
      <c r="A79" s="6" t="n"/>
      <c r="B79" s="6" t="n"/>
      <c r="C79" s="6" t="n"/>
      <c r="D79" s="6" t="n"/>
      <c r="E79" s="6" t="n"/>
      <c r="F79" s="7" t="n"/>
      <c r="G79" s="8" t="n"/>
      <c r="H79" s="7" t="n"/>
      <c r="I79" s="6" t="n"/>
      <c r="J79" s="8" t="n"/>
      <c r="K79" s="7" t="n"/>
      <c r="L79" s="9">
        <f>IF(K79="","",K79-H79)</f>
        <v/>
      </c>
      <c r="M79" s="8" t="n"/>
      <c r="N79" s="8" t="n"/>
      <c r="O79" s="8">
        <f>IF(J79="","",J79-G79-M79-N79)</f>
        <v/>
      </c>
      <c r="P79" s="11">
        <f>IF(J79="","",O79/J79)</f>
        <v/>
      </c>
      <c r="Q79" s="6" t="n"/>
    </row>
    <row r="80">
      <c r="A80" s="2" t="n"/>
      <c r="B80" s="2" t="n"/>
      <c r="C80" s="2" t="n"/>
      <c r="D80" s="2" t="n"/>
      <c r="E80" s="2" t="n"/>
      <c r="F80" s="3" t="n"/>
      <c r="G80" s="4" t="n"/>
      <c r="H80" s="3" t="n"/>
      <c r="I80" s="2" t="n"/>
      <c r="J80" s="4" t="n"/>
      <c r="K80" s="3" t="n"/>
      <c r="L80" s="5">
        <f>IF(K80="","",K80-H80)</f>
        <v/>
      </c>
      <c r="M80" s="4" t="n"/>
      <c r="N80" s="4" t="n"/>
      <c r="O80" s="4">
        <f>IF(J80="","",J80-G80-M80-N80)</f>
        <v/>
      </c>
      <c r="P80" s="10">
        <f>IF(J80="","",O80/J80)</f>
        <v/>
      </c>
      <c r="Q80" s="2" t="n"/>
    </row>
    <row r="81">
      <c r="A81" s="6" t="n"/>
      <c r="B81" s="6" t="n"/>
      <c r="C81" s="6" t="n"/>
      <c r="D81" s="6" t="n"/>
      <c r="E81" s="6" t="n"/>
      <c r="F81" s="7" t="n"/>
      <c r="G81" s="8" t="n"/>
      <c r="H81" s="7" t="n"/>
      <c r="I81" s="6" t="n"/>
      <c r="J81" s="8" t="n"/>
      <c r="K81" s="7" t="n"/>
      <c r="L81" s="9">
        <f>IF(K81="","",K81-H81)</f>
        <v/>
      </c>
      <c r="M81" s="8" t="n"/>
      <c r="N81" s="8" t="n"/>
      <c r="O81" s="8">
        <f>IF(J81="","",J81-G81-M81-N81)</f>
        <v/>
      </c>
      <c r="P81" s="11">
        <f>IF(J81="","",O81/J81)</f>
        <v/>
      </c>
      <c r="Q81" s="6" t="n"/>
    </row>
    <row r="82">
      <c r="A82" s="2" t="n"/>
      <c r="B82" s="2" t="n"/>
      <c r="C82" s="2" t="n"/>
      <c r="D82" s="2" t="n"/>
      <c r="E82" s="2" t="n"/>
      <c r="F82" s="3" t="n"/>
      <c r="G82" s="4" t="n"/>
      <c r="H82" s="3" t="n"/>
      <c r="I82" s="2" t="n"/>
      <c r="J82" s="4" t="n"/>
      <c r="K82" s="3" t="n"/>
      <c r="L82" s="5">
        <f>IF(K82="","",K82-H82)</f>
        <v/>
      </c>
      <c r="M82" s="4" t="n"/>
      <c r="N82" s="4" t="n"/>
      <c r="O82" s="4">
        <f>IF(J82="","",J82-G82-M82-N82)</f>
        <v/>
      </c>
      <c r="P82" s="10">
        <f>IF(J82="","",O82/J82)</f>
        <v/>
      </c>
      <c r="Q82" s="2" t="n"/>
    </row>
    <row r="83">
      <c r="A83" s="6" t="n"/>
      <c r="B83" s="6" t="n"/>
      <c r="C83" s="6" t="n"/>
      <c r="D83" s="6" t="n"/>
      <c r="E83" s="6" t="n"/>
      <c r="F83" s="7" t="n"/>
      <c r="G83" s="8" t="n"/>
      <c r="H83" s="7" t="n"/>
      <c r="I83" s="6" t="n"/>
      <c r="J83" s="8" t="n"/>
      <c r="K83" s="7" t="n"/>
      <c r="L83" s="9">
        <f>IF(K83="","",K83-H83)</f>
        <v/>
      </c>
      <c r="M83" s="8" t="n"/>
      <c r="N83" s="8" t="n"/>
      <c r="O83" s="8">
        <f>IF(J83="","",J83-G83-M83-N83)</f>
        <v/>
      </c>
      <c r="P83" s="11">
        <f>IF(J83="","",O83/J83)</f>
        <v/>
      </c>
      <c r="Q83" s="6" t="n"/>
    </row>
    <row r="84">
      <c r="A84" s="2" t="n"/>
      <c r="B84" s="2" t="n"/>
      <c r="C84" s="2" t="n"/>
      <c r="D84" s="2" t="n"/>
      <c r="E84" s="2" t="n"/>
      <c r="F84" s="3" t="n"/>
      <c r="G84" s="4" t="n"/>
      <c r="H84" s="3" t="n"/>
      <c r="I84" s="2" t="n"/>
      <c r="J84" s="4" t="n"/>
      <c r="K84" s="3" t="n"/>
      <c r="L84" s="5">
        <f>IF(K84="","",K84-H84)</f>
        <v/>
      </c>
      <c r="M84" s="4" t="n"/>
      <c r="N84" s="4" t="n"/>
      <c r="O84" s="4">
        <f>IF(J84="","",J84-G84-M84-N84)</f>
        <v/>
      </c>
      <c r="P84" s="10">
        <f>IF(J84="","",O84/J84)</f>
        <v/>
      </c>
      <c r="Q84" s="2" t="n"/>
    </row>
    <row r="85">
      <c r="A85" s="6" t="n"/>
      <c r="B85" s="6" t="n"/>
      <c r="C85" s="6" t="n"/>
      <c r="D85" s="6" t="n"/>
      <c r="E85" s="6" t="n"/>
      <c r="F85" s="7" t="n"/>
      <c r="G85" s="8" t="n"/>
      <c r="H85" s="7" t="n"/>
      <c r="I85" s="6" t="n"/>
      <c r="J85" s="8" t="n"/>
      <c r="K85" s="7" t="n"/>
      <c r="L85" s="9">
        <f>IF(K85="","",K85-H85)</f>
        <v/>
      </c>
      <c r="M85" s="8" t="n"/>
      <c r="N85" s="8" t="n"/>
      <c r="O85" s="8">
        <f>IF(J85="","",J85-G85-M85-N85)</f>
        <v/>
      </c>
      <c r="P85" s="11">
        <f>IF(J85="","",O85/J85)</f>
        <v/>
      </c>
      <c r="Q85" s="6" t="n"/>
    </row>
    <row r="86">
      <c r="A86" s="2" t="n"/>
      <c r="B86" s="2" t="n"/>
      <c r="C86" s="2" t="n"/>
      <c r="D86" s="2" t="n"/>
      <c r="E86" s="2" t="n"/>
      <c r="F86" s="3" t="n"/>
      <c r="G86" s="4" t="n"/>
      <c r="H86" s="3" t="n"/>
      <c r="I86" s="2" t="n"/>
      <c r="J86" s="4" t="n"/>
      <c r="K86" s="3" t="n"/>
      <c r="L86" s="5">
        <f>IF(K86="","",K86-H86)</f>
        <v/>
      </c>
      <c r="M86" s="4" t="n"/>
      <c r="N86" s="4" t="n"/>
      <c r="O86" s="4">
        <f>IF(J86="","",J86-G86-M86-N86)</f>
        <v/>
      </c>
      <c r="P86" s="10">
        <f>IF(J86="","",O86/J86)</f>
        <v/>
      </c>
      <c r="Q86" s="2" t="n"/>
    </row>
    <row r="87">
      <c r="A87" s="6" t="n"/>
      <c r="B87" s="6" t="n"/>
      <c r="C87" s="6" t="n"/>
      <c r="D87" s="6" t="n"/>
      <c r="E87" s="6" t="n"/>
      <c r="F87" s="7" t="n"/>
      <c r="G87" s="8" t="n"/>
      <c r="H87" s="7" t="n"/>
      <c r="I87" s="6" t="n"/>
      <c r="J87" s="8" t="n"/>
      <c r="K87" s="7" t="n"/>
      <c r="L87" s="9">
        <f>IF(K87="","",K87-H87)</f>
        <v/>
      </c>
      <c r="M87" s="8" t="n"/>
      <c r="N87" s="8" t="n"/>
      <c r="O87" s="8">
        <f>IF(J87="","",J87-G87-M87-N87)</f>
        <v/>
      </c>
      <c r="P87" s="11">
        <f>IF(J87="","",O87/J87)</f>
        <v/>
      </c>
      <c r="Q87" s="6" t="n"/>
    </row>
    <row r="88">
      <c r="A88" s="2" t="n"/>
      <c r="B88" s="2" t="n"/>
      <c r="C88" s="2" t="n"/>
      <c r="D88" s="2" t="n"/>
      <c r="E88" s="2" t="n"/>
      <c r="F88" s="3" t="n"/>
      <c r="G88" s="4" t="n"/>
      <c r="H88" s="3" t="n"/>
      <c r="I88" s="2" t="n"/>
      <c r="J88" s="4" t="n"/>
      <c r="K88" s="3" t="n"/>
      <c r="L88" s="5">
        <f>IF(K88="","",K88-H88)</f>
        <v/>
      </c>
      <c r="M88" s="4" t="n"/>
      <c r="N88" s="4" t="n"/>
      <c r="O88" s="4">
        <f>IF(J88="","",J88-G88-M88-N88)</f>
        <v/>
      </c>
      <c r="P88" s="10">
        <f>IF(J88="","",O88/J88)</f>
        <v/>
      </c>
      <c r="Q88" s="2" t="n"/>
    </row>
    <row r="89">
      <c r="A89" s="6" t="n"/>
      <c r="B89" s="6" t="n"/>
      <c r="C89" s="6" t="n"/>
      <c r="D89" s="6" t="n"/>
      <c r="E89" s="6" t="n"/>
      <c r="F89" s="7" t="n"/>
      <c r="G89" s="8" t="n"/>
      <c r="H89" s="7" t="n"/>
      <c r="I89" s="6" t="n"/>
      <c r="J89" s="8" t="n"/>
      <c r="K89" s="7" t="n"/>
      <c r="L89" s="9">
        <f>IF(K89="","",K89-H89)</f>
        <v/>
      </c>
      <c r="M89" s="8" t="n"/>
      <c r="N89" s="8" t="n"/>
      <c r="O89" s="8">
        <f>IF(J89="","",J89-G89-M89-N89)</f>
        <v/>
      </c>
      <c r="P89" s="11">
        <f>IF(J89="","",O89/J89)</f>
        <v/>
      </c>
      <c r="Q89" s="6" t="n"/>
    </row>
    <row r="90">
      <c r="A90" s="2" t="n"/>
      <c r="B90" s="2" t="n"/>
      <c r="C90" s="2" t="n"/>
      <c r="D90" s="2" t="n"/>
      <c r="E90" s="2" t="n"/>
      <c r="F90" s="3" t="n"/>
      <c r="G90" s="4" t="n"/>
      <c r="H90" s="3" t="n"/>
      <c r="I90" s="2" t="n"/>
      <c r="J90" s="4" t="n"/>
      <c r="K90" s="3" t="n"/>
      <c r="L90" s="5">
        <f>IF(K90="","",K90-H90)</f>
        <v/>
      </c>
      <c r="M90" s="4" t="n"/>
      <c r="N90" s="4" t="n"/>
      <c r="O90" s="4">
        <f>IF(J90="","",J90-G90-M90-N90)</f>
        <v/>
      </c>
      <c r="P90" s="10">
        <f>IF(J90="","",O90/J90)</f>
        <v/>
      </c>
      <c r="Q90" s="2" t="n"/>
    </row>
    <row r="91">
      <c r="A91" s="6" t="n"/>
      <c r="B91" s="6" t="n"/>
      <c r="C91" s="6" t="n"/>
      <c r="D91" s="6" t="n"/>
      <c r="E91" s="6" t="n"/>
      <c r="F91" s="7" t="n"/>
      <c r="G91" s="8" t="n"/>
      <c r="H91" s="7" t="n"/>
      <c r="I91" s="6" t="n"/>
      <c r="J91" s="8" t="n"/>
      <c r="K91" s="7" t="n"/>
      <c r="L91" s="9">
        <f>IF(K91="","",K91-H91)</f>
        <v/>
      </c>
      <c r="M91" s="8" t="n"/>
      <c r="N91" s="8" t="n"/>
      <c r="O91" s="8">
        <f>IF(J91="","",J91-G91-M91-N91)</f>
        <v/>
      </c>
      <c r="P91" s="11">
        <f>IF(J91="","",O91/J91)</f>
        <v/>
      </c>
      <c r="Q91" s="6" t="n"/>
    </row>
    <row r="92">
      <c r="A92" s="2" t="n"/>
      <c r="B92" s="2" t="n"/>
      <c r="C92" s="2" t="n"/>
      <c r="D92" s="2" t="n"/>
      <c r="E92" s="2" t="n"/>
      <c r="F92" s="3" t="n"/>
      <c r="G92" s="4" t="n"/>
      <c r="H92" s="3" t="n"/>
      <c r="I92" s="2" t="n"/>
      <c r="J92" s="4" t="n"/>
      <c r="K92" s="3" t="n"/>
      <c r="L92" s="5">
        <f>IF(K92="","",K92-H92)</f>
        <v/>
      </c>
      <c r="M92" s="4" t="n"/>
      <c r="N92" s="4" t="n"/>
      <c r="O92" s="4">
        <f>IF(J92="","",J92-G92-M92-N92)</f>
        <v/>
      </c>
      <c r="P92" s="10">
        <f>IF(J92="","",O92/J92)</f>
        <v/>
      </c>
      <c r="Q92" s="2" t="n"/>
    </row>
    <row r="93">
      <c r="A93" s="6" t="n"/>
      <c r="B93" s="6" t="n"/>
      <c r="C93" s="6" t="n"/>
      <c r="D93" s="6" t="n"/>
      <c r="E93" s="6" t="n"/>
      <c r="F93" s="7" t="n"/>
      <c r="G93" s="8" t="n"/>
      <c r="H93" s="7" t="n"/>
      <c r="I93" s="6" t="n"/>
      <c r="J93" s="8" t="n"/>
      <c r="K93" s="7" t="n"/>
      <c r="L93" s="9">
        <f>IF(K93="","",K93-H93)</f>
        <v/>
      </c>
      <c r="M93" s="8" t="n"/>
      <c r="N93" s="8" t="n"/>
      <c r="O93" s="8">
        <f>IF(J93="","",J93-G93-M93-N93)</f>
        <v/>
      </c>
      <c r="P93" s="11">
        <f>IF(J93="","",O93/J93)</f>
        <v/>
      </c>
      <c r="Q93" s="6" t="n"/>
    </row>
    <row r="94">
      <c r="A94" s="2" t="n"/>
      <c r="B94" s="2" t="n"/>
      <c r="C94" s="2" t="n"/>
      <c r="D94" s="2" t="n"/>
      <c r="E94" s="2" t="n"/>
      <c r="F94" s="3" t="n"/>
      <c r="G94" s="4" t="n"/>
      <c r="H94" s="3" t="n"/>
      <c r="I94" s="2" t="n"/>
      <c r="J94" s="4" t="n"/>
      <c r="K94" s="3" t="n"/>
      <c r="L94" s="5">
        <f>IF(K94="","",K94-H94)</f>
        <v/>
      </c>
      <c r="M94" s="4" t="n"/>
      <c r="N94" s="4" t="n"/>
      <c r="O94" s="4">
        <f>IF(J94="","",J94-G94-M94-N94)</f>
        <v/>
      </c>
      <c r="P94" s="10">
        <f>IF(J94="","",O94/J94)</f>
        <v/>
      </c>
      <c r="Q94" s="2" t="n"/>
    </row>
    <row r="95">
      <c r="A95" s="6" t="n"/>
      <c r="B95" s="6" t="n"/>
      <c r="C95" s="6" t="n"/>
      <c r="D95" s="6" t="n"/>
      <c r="E95" s="6" t="n"/>
      <c r="F95" s="7" t="n"/>
      <c r="G95" s="8" t="n"/>
      <c r="H95" s="7" t="n"/>
      <c r="I95" s="6" t="n"/>
      <c r="J95" s="8" t="n"/>
      <c r="K95" s="7" t="n"/>
      <c r="L95" s="9">
        <f>IF(K95="","",K95-H95)</f>
        <v/>
      </c>
      <c r="M95" s="8" t="n"/>
      <c r="N95" s="8" t="n"/>
      <c r="O95" s="8">
        <f>IF(J95="","",J95-G95-M95-N95)</f>
        <v/>
      </c>
      <c r="P95" s="11">
        <f>IF(J95="","",O95/J95)</f>
        <v/>
      </c>
      <c r="Q95" s="6" t="n"/>
    </row>
    <row r="96">
      <c r="A96" s="2" t="n"/>
      <c r="B96" s="2" t="n"/>
      <c r="C96" s="2" t="n"/>
      <c r="D96" s="2" t="n"/>
      <c r="E96" s="2" t="n"/>
      <c r="F96" s="3" t="n"/>
      <c r="G96" s="4" t="n"/>
      <c r="H96" s="3" t="n"/>
      <c r="I96" s="2" t="n"/>
      <c r="J96" s="4" t="n"/>
      <c r="K96" s="3" t="n"/>
      <c r="L96" s="5">
        <f>IF(K96="","",K96-H96)</f>
        <v/>
      </c>
      <c r="M96" s="4" t="n"/>
      <c r="N96" s="4" t="n"/>
      <c r="O96" s="4">
        <f>IF(J96="","",J96-G96-M96-N96)</f>
        <v/>
      </c>
      <c r="P96" s="10">
        <f>IF(J96="","",O96/J96)</f>
        <v/>
      </c>
      <c r="Q96" s="2" t="n"/>
    </row>
    <row r="97">
      <c r="A97" s="6" t="n"/>
      <c r="B97" s="6" t="n"/>
      <c r="C97" s="6" t="n"/>
      <c r="D97" s="6" t="n"/>
      <c r="E97" s="6" t="n"/>
      <c r="F97" s="7" t="n"/>
      <c r="G97" s="8" t="n"/>
      <c r="H97" s="7" t="n"/>
      <c r="I97" s="6" t="n"/>
      <c r="J97" s="8" t="n"/>
      <c r="K97" s="7" t="n"/>
      <c r="L97" s="9">
        <f>IF(K97="","",K97-H97)</f>
        <v/>
      </c>
      <c r="M97" s="8" t="n"/>
      <c r="N97" s="8" t="n"/>
      <c r="O97" s="8">
        <f>IF(J97="","",J97-G97-M97-N97)</f>
        <v/>
      </c>
      <c r="P97" s="11">
        <f>IF(J97="","",O97/J97)</f>
        <v/>
      </c>
      <c r="Q97" s="6" t="n"/>
    </row>
    <row r="98">
      <c r="A98" s="2" t="n"/>
      <c r="B98" s="2" t="n"/>
      <c r="C98" s="2" t="n"/>
      <c r="D98" s="2" t="n"/>
      <c r="E98" s="2" t="n"/>
      <c r="F98" s="3" t="n"/>
      <c r="G98" s="4" t="n"/>
      <c r="H98" s="3" t="n"/>
      <c r="I98" s="2" t="n"/>
      <c r="J98" s="4" t="n"/>
      <c r="K98" s="3" t="n"/>
      <c r="L98" s="5">
        <f>IF(K98="","",K98-H98)</f>
        <v/>
      </c>
      <c r="M98" s="4" t="n"/>
      <c r="N98" s="4" t="n"/>
      <c r="O98" s="4">
        <f>IF(J98="","",J98-G98-M98-N98)</f>
        <v/>
      </c>
      <c r="P98" s="10">
        <f>IF(J98="","",O98/J98)</f>
        <v/>
      </c>
      <c r="Q98" s="2" t="n"/>
    </row>
    <row r="99">
      <c r="A99" s="6" t="n"/>
      <c r="B99" s="6" t="n"/>
      <c r="C99" s="6" t="n"/>
      <c r="D99" s="6" t="n"/>
      <c r="E99" s="6" t="n"/>
      <c r="F99" s="7" t="n"/>
      <c r="G99" s="8" t="n"/>
      <c r="H99" s="7" t="n"/>
      <c r="I99" s="6" t="n"/>
      <c r="J99" s="8" t="n"/>
      <c r="K99" s="7" t="n"/>
      <c r="L99" s="9">
        <f>IF(K99="","",K99-H99)</f>
        <v/>
      </c>
      <c r="M99" s="8" t="n"/>
      <c r="N99" s="8" t="n"/>
      <c r="O99" s="8">
        <f>IF(J99="","",J99-G99-M99-N99)</f>
        <v/>
      </c>
      <c r="P99" s="11">
        <f>IF(J99="","",O99/J99)</f>
        <v/>
      </c>
      <c r="Q99" s="6" t="n"/>
    </row>
    <row r="100">
      <c r="A100" s="2" t="n"/>
      <c r="B100" s="2" t="n"/>
      <c r="C100" s="2" t="n"/>
      <c r="D100" s="2" t="n"/>
      <c r="E100" s="2" t="n"/>
      <c r="F100" s="3" t="n"/>
      <c r="G100" s="4" t="n"/>
      <c r="H100" s="3" t="n"/>
      <c r="I100" s="2" t="n"/>
      <c r="J100" s="4" t="n"/>
      <c r="K100" s="3" t="n"/>
      <c r="L100" s="5">
        <f>IF(K100="","",K100-H100)</f>
        <v/>
      </c>
      <c r="M100" s="4" t="n"/>
      <c r="N100" s="4" t="n"/>
      <c r="O100" s="4">
        <f>IF(J100="","",J100-G100-M100-N100)</f>
        <v/>
      </c>
      <c r="P100" s="10">
        <f>IF(J100="","",O100/J100)</f>
        <v/>
      </c>
      <c r="Q100" s="2" t="n"/>
    </row>
    <row r="101">
      <c r="A101" s="6" t="n"/>
      <c r="B101" s="6" t="n"/>
      <c r="C101" s="6" t="n"/>
      <c r="D101" s="6" t="n"/>
      <c r="E101" s="6" t="n"/>
      <c r="F101" s="7" t="n"/>
      <c r="G101" s="8" t="n"/>
      <c r="H101" s="7" t="n"/>
      <c r="I101" s="6" t="n"/>
      <c r="J101" s="8" t="n"/>
      <c r="K101" s="7" t="n"/>
      <c r="L101" s="9">
        <f>IF(K101="","",K101-H101)</f>
        <v/>
      </c>
      <c r="M101" s="8" t="n"/>
      <c r="N101" s="8" t="n"/>
      <c r="O101" s="8">
        <f>IF(J101="","",J101-G101-M101-N101)</f>
        <v/>
      </c>
      <c r="P101" s="11">
        <f>IF(J101="","",O101/J101)</f>
        <v/>
      </c>
      <c r="Q101" s="6" t="n"/>
    </row>
  </sheetData>
  <autoFilter ref="A1:Q101"/>
  <dataValidations count="3">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showDropDown="0" showInputMessage="0" showErrorMessage="0" allowBlank="1" type="list">
      <formula1>"財布,バッグ"</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showDropDown="0" showInputMessage="0" showErrorMessage="0" allowBlank="1" type="list">
      <formula1>"エコリング,オークネット,ヤフオク,メルカリ"</formula1>
    </dataValidation>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showDropDown="0" showInputMessage="0" showErrorMessage="0" allowBlank="1" type="list">
      <formula1>"メルカリ,PayPay,ラクマ,ヤフオク,エコリング"</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2026-06-26T23:48:33Z</dcterms:created>
  <dcterms:modified xsi:type="dcterms:W3CDTF">2026-06-27T00:58:34Z</dcterms:modified>
</cp:coreProperties>
</file>